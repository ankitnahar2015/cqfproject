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" windowWidth="19155" windowHeight="7485"/>
  </bookViews>
  <sheets>
    <sheet name="Main" sheetId="1" r:id="rId1"/>
  </sheets>
  <functionGroups/>
  <definedNames>
    <definedName name="call_or_put">Main!$F$8</definedName>
    <definedName name="fd_output">Main!$E$35:$H$1347</definedName>
    <definedName name="fd_output2" localSheetId="0">Main!$J$35:$M$1347</definedName>
    <definedName name="maturity" localSheetId="0">Main!$F$6</definedName>
    <definedName name="maturity1" localSheetId="0">Main!$I$7</definedName>
    <definedName name="maturity2" localSheetId="0">Main!$J1</definedName>
    <definedName name="num_asset_steps">Main!$F$31</definedName>
    <definedName name="payoff">Main!$F$7</definedName>
    <definedName name="quantity1" localSheetId="0">Main!$E$17</definedName>
    <definedName name="quantity2" localSheetId="0">Main!$F$17</definedName>
    <definedName name="rf">Main!$C$6</definedName>
    <definedName name="sigma_minus">Main!$C$7</definedName>
    <definedName name="sigma_plus">Main!$C$8</definedName>
    <definedName name="solver_adj" localSheetId="0" hidden="1">Main!$E$17:$F$17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Main!$F$17</definedName>
    <definedName name="solver_lhs2" localSheetId="0" hidden="1">Main!$F$17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Main!$F$28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pot">Main!$C$5</definedName>
    <definedName name="strike">Main!$F$5</definedName>
    <definedName name="strike1" localSheetId="0">Main!$I$6</definedName>
    <definedName name="strike2" localSheetId="0">Main!$J$6</definedName>
  </definedNames>
  <calcPr calcId="125725"/>
</workbook>
</file>

<file path=xl/calcChain.xml><?xml version="1.0" encoding="utf-8"?>
<calcChain xmlns="http://schemas.openxmlformats.org/spreadsheetml/2006/main">
  <c r="J7" i="1"/>
  <c r="I7"/>
  <c r="J6"/>
  <c r="I6"/>
  <c r="J8"/>
  <c r="I8"/>
  <c r="J9"/>
  <c r="J35" a="1"/>
  <c r="E35" a="1"/>
  <c r="I9"/>
  <c r="L35" l="1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J36"/>
  <c r="J38"/>
  <c r="J40"/>
  <c r="J42"/>
  <c r="J44"/>
  <c r="J46"/>
  <c r="J48"/>
  <c r="J50"/>
  <c r="J52"/>
  <c r="J54"/>
  <c r="J56"/>
  <c r="J58"/>
  <c r="J60"/>
  <c r="J62"/>
  <c r="J64"/>
  <c r="J66"/>
  <c r="J68"/>
  <c r="J70"/>
  <c r="J72"/>
  <c r="J74"/>
  <c r="J76"/>
  <c r="J78"/>
  <c r="J80"/>
  <c r="J82"/>
  <c r="J84"/>
  <c r="J86"/>
  <c r="J88"/>
  <c r="J90"/>
  <c r="J92"/>
  <c r="J94"/>
  <c r="J96"/>
  <c r="J98"/>
  <c r="J100"/>
  <c r="J102"/>
  <c r="J104"/>
  <c r="J106"/>
  <c r="J108"/>
  <c r="J110"/>
  <c r="J112"/>
  <c r="J114"/>
  <c r="J116"/>
  <c r="J118"/>
  <c r="J120"/>
  <c r="J122"/>
  <c r="J124"/>
  <c r="J126"/>
  <c r="J128"/>
  <c r="J130"/>
  <c r="J132"/>
  <c r="J134"/>
  <c r="J136"/>
  <c r="J138"/>
  <c r="J140"/>
  <c r="J142"/>
  <c r="J144"/>
  <c r="J146"/>
  <c r="J148"/>
  <c r="J150"/>
  <c r="J152"/>
  <c r="J154"/>
  <c r="J156"/>
  <c r="J158"/>
  <c r="J160"/>
  <c r="J162"/>
  <c r="J164"/>
  <c r="J166"/>
  <c r="J168"/>
  <c r="J170"/>
  <c r="J172"/>
  <c r="J174"/>
  <c r="J176"/>
  <c r="J178"/>
  <c r="J180"/>
  <c r="J182"/>
  <c r="J184"/>
  <c r="J186"/>
  <c r="J188"/>
  <c r="J190"/>
  <c r="J192"/>
  <c r="J194"/>
  <c r="J196"/>
  <c r="J198"/>
  <c r="J200"/>
  <c r="J202"/>
  <c r="J204"/>
  <c r="J206"/>
  <c r="J208"/>
  <c r="J210"/>
  <c r="J212"/>
  <c r="J214"/>
  <c r="J216"/>
  <c r="J218"/>
  <c r="J220"/>
  <c r="J222"/>
  <c r="J224"/>
  <c r="J226"/>
  <c r="J228"/>
  <c r="J230"/>
  <c r="J232"/>
  <c r="J234"/>
  <c r="J236"/>
  <c r="J238"/>
  <c r="J240"/>
  <c r="J242"/>
  <c r="J244"/>
  <c r="J246"/>
  <c r="J248"/>
  <c r="J250"/>
  <c r="J252"/>
  <c r="J254"/>
  <c r="J256"/>
  <c r="J258"/>
  <c r="J260"/>
  <c r="J262"/>
  <c r="J264"/>
  <c r="J266"/>
  <c r="J268"/>
  <c r="J270"/>
  <c r="J272"/>
  <c r="J274"/>
  <c r="J276"/>
  <c r="J278"/>
  <c r="J280"/>
  <c r="J282"/>
  <c r="J284"/>
  <c r="J286"/>
  <c r="J288"/>
  <c r="J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0"/>
  <c r="M152"/>
  <c r="M154"/>
  <c r="M156"/>
  <c r="M158"/>
  <c r="M160"/>
  <c r="M162"/>
  <c r="M164"/>
  <c r="M166"/>
  <c r="M168"/>
  <c r="M170"/>
  <c r="M172"/>
  <c r="M174"/>
  <c r="M176"/>
  <c r="M178"/>
  <c r="M180"/>
  <c r="M182"/>
  <c r="M184"/>
  <c r="M186"/>
  <c r="M188"/>
  <c r="M190"/>
  <c r="M192"/>
  <c r="M194"/>
  <c r="M196"/>
  <c r="M198"/>
  <c r="M200"/>
  <c r="M202"/>
  <c r="M204"/>
  <c r="M206"/>
  <c r="M208"/>
  <c r="M210"/>
  <c r="M212"/>
  <c r="M214"/>
  <c r="M216"/>
  <c r="M218"/>
  <c r="M220"/>
  <c r="M222"/>
  <c r="M224"/>
  <c r="M226"/>
  <c r="M228"/>
  <c r="M230"/>
  <c r="M232"/>
  <c r="M234"/>
  <c r="M236"/>
  <c r="M238"/>
  <c r="M240"/>
  <c r="M242"/>
  <c r="M244"/>
  <c r="M246"/>
  <c r="M248"/>
  <c r="M250"/>
  <c r="M252"/>
  <c r="M254"/>
  <c r="M256"/>
  <c r="M258"/>
  <c r="M260"/>
  <c r="M262"/>
  <c r="M264"/>
  <c r="M266"/>
  <c r="M268"/>
  <c r="M270"/>
  <c r="M272"/>
  <c r="M274"/>
  <c r="M276"/>
  <c r="M278"/>
  <c r="M280"/>
  <c r="M282"/>
  <c r="M284"/>
  <c r="M286"/>
  <c r="M288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J35"/>
  <c r="J39"/>
  <c r="J43"/>
  <c r="J47"/>
  <c r="J51"/>
  <c r="J55"/>
  <c r="J59"/>
  <c r="J63"/>
  <c r="J67"/>
  <c r="J71"/>
  <c r="J75"/>
  <c r="J79"/>
  <c r="J83"/>
  <c r="J87"/>
  <c r="J91"/>
  <c r="J95"/>
  <c r="J99"/>
  <c r="J103"/>
  <c r="J107"/>
  <c r="J111"/>
  <c r="J115"/>
  <c r="J119"/>
  <c r="J123"/>
  <c r="J127"/>
  <c r="J131"/>
  <c r="J135"/>
  <c r="J139"/>
  <c r="J143"/>
  <c r="J147"/>
  <c r="J151"/>
  <c r="J155"/>
  <c r="J159"/>
  <c r="J163"/>
  <c r="J167"/>
  <c r="J171"/>
  <c r="J175"/>
  <c r="J179"/>
  <c r="J183"/>
  <c r="J187"/>
  <c r="J191"/>
  <c r="J195"/>
  <c r="J199"/>
  <c r="J203"/>
  <c r="J207"/>
  <c r="J211"/>
  <c r="J215"/>
  <c r="J219"/>
  <c r="J223"/>
  <c r="J227"/>
  <c r="J231"/>
  <c r="J235"/>
  <c r="J239"/>
  <c r="J243"/>
  <c r="J247"/>
  <c r="J251"/>
  <c r="J255"/>
  <c r="J259"/>
  <c r="J263"/>
  <c r="J267"/>
  <c r="J271"/>
  <c r="J275"/>
  <c r="J279"/>
  <c r="J283"/>
  <c r="J287"/>
  <c r="J291"/>
  <c r="J293"/>
  <c r="J295"/>
  <c r="J297"/>
  <c r="J299"/>
  <c r="J301"/>
  <c r="J303"/>
  <c r="J305"/>
  <c r="J307"/>
  <c r="J309"/>
  <c r="J311"/>
  <c r="J313"/>
  <c r="J315"/>
  <c r="J317"/>
  <c r="J319"/>
  <c r="J321"/>
  <c r="J323"/>
  <c r="J325"/>
  <c r="J327"/>
  <c r="J329"/>
  <c r="J331"/>
  <c r="J333"/>
  <c r="J335"/>
  <c r="J337"/>
  <c r="J339"/>
  <c r="J341"/>
  <c r="J343"/>
  <c r="J345"/>
  <c r="J347"/>
  <c r="J349"/>
  <c r="J351"/>
  <c r="J353"/>
  <c r="J355"/>
  <c r="J357"/>
  <c r="J359"/>
  <c r="J361"/>
  <c r="J363"/>
  <c r="J365"/>
  <c r="J367"/>
  <c r="J369"/>
  <c r="J371"/>
  <c r="J373"/>
  <c r="J375"/>
  <c r="J377"/>
  <c r="J379"/>
  <c r="J381"/>
  <c r="J383"/>
  <c r="J385"/>
  <c r="J387"/>
  <c r="J389"/>
  <c r="J391"/>
  <c r="J393"/>
  <c r="J395"/>
  <c r="J397"/>
  <c r="J399"/>
  <c r="J401"/>
  <c r="J403"/>
  <c r="J405"/>
  <c r="J407"/>
  <c r="J409"/>
  <c r="J411"/>
  <c r="J413"/>
  <c r="J415"/>
  <c r="J417"/>
  <c r="J419"/>
  <c r="K420"/>
  <c r="M421"/>
  <c r="J423"/>
  <c r="K424"/>
  <c r="M425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M39"/>
  <c r="J45"/>
  <c r="M49"/>
  <c r="M55"/>
  <c r="J61"/>
  <c r="M65"/>
  <c r="M71"/>
  <c r="J77"/>
  <c r="M81"/>
  <c r="M87"/>
  <c r="J93"/>
  <c r="M97"/>
  <c r="M103"/>
  <c r="J109"/>
  <c r="M113"/>
  <c r="M119"/>
  <c r="J125"/>
  <c r="M129"/>
  <c r="M135"/>
  <c r="J141"/>
  <c r="M145"/>
  <c r="M151"/>
  <c r="J157"/>
  <c r="M161"/>
  <c r="M167"/>
  <c r="J173"/>
  <c r="M177"/>
  <c r="M183"/>
  <c r="J189"/>
  <c r="M193"/>
  <c r="M199"/>
  <c r="J205"/>
  <c r="M209"/>
  <c r="M215"/>
  <c r="J221"/>
  <c r="M225"/>
  <c r="M231"/>
  <c r="J237"/>
  <c r="M241"/>
  <c r="M247"/>
  <c r="J253"/>
  <c r="M257"/>
  <c r="M263"/>
  <c r="J269"/>
  <c r="M273"/>
  <c r="M279"/>
  <c r="J285"/>
  <c r="M289"/>
  <c r="K293"/>
  <c r="J296"/>
  <c r="K298"/>
  <c r="K301"/>
  <c r="J304"/>
  <c r="K306"/>
  <c r="K309"/>
  <c r="J312"/>
  <c r="K314"/>
  <c r="K317"/>
  <c r="J320"/>
  <c r="K322"/>
  <c r="K325"/>
  <c r="J328"/>
  <c r="K330"/>
  <c r="K333"/>
  <c r="J336"/>
  <c r="K338"/>
  <c r="K341"/>
  <c r="J344"/>
  <c r="K346"/>
  <c r="K349"/>
  <c r="J352"/>
  <c r="K354"/>
  <c r="K357"/>
  <c r="J360"/>
  <c r="K362"/>
  <c r="K365"/>
  <c r="J368"/>
  <c r="K370"/>
  <c r="K373"/>
  <c r="J376"/>
  <c r="K378"/>
  <c r="K381"/>
  <c r="J384"/>
  <c r="K386"/>
  <c r="K389"/>
  <c r="J392"/>
  <c r="K394"/>
  <c r="K397"/>
  <c r="J400"/>
  <c r="K402"/>
  <c r="K405"/>
  <c r="J408"/>
  <c r="K410"/>
  <c r="K413"/>
  <c r="J416"/>
  <c r="K418"/>
  <c r="M420"/>
  <c r="K422"/>
  <c r="J424"/>
  <c r="J426"/>
  <c r="L427"/>
  <c r="M428"/>
  <c r="K430"/>
  <c r="L431"/>
  <c r="M432"/>
  <c r="K434"/>
  <c r="L435"/>
  <c r="M436"/>
  <c r="K438"/>
  <c r="L439"/>
  <c r="M440"/>
  <c r="K442"/>
  <c r="L443"/>
  <c r="M444"/>
  <c r="K446"/>
  <c r="L447"/>
  <c r="M448"/>
  <c r="K450"/>
  <c r="L451"/>
  <c r="M452"/>
  <c r="K454"/>
  <c r="L455"/>
  <c r="M456"/>
  <c r="K458"/>
  <c r="L459"/>
  <c r="M460"/>
  <c r="K462"/>
  <c r="L463"/>
  <c r="M464"/>
  <c r="K466"/>
  <c r="L467"/>
  <c r="M468"/>
  <c r="K470"/>
  <c r="L471"/>
  <c r="M472"/>
  <c r="K474"/>
  <c r="L475"/>
  <c r="M476"/>
  <c r="K478"/>
  <c r="L479"/>
  <c r="M480"/>
  <c r="K482"/>
  <c r="L483"/>
  <c r="M484"/>
  <c r="K486"/>
  <c r="L487"/>
  <c r="M488"/>
  <c r="K490"/>
  <c r="L491"/>
  <c r="M492"/>
  <c r="K494"/>
  <c r="L495"/>
  <c r="M496"/>
  <c r="K498"/>
  <c r="L499"/>
  <c r="M500"/>
  <c r="K502"/>
  <c r="L503"/>
  <c r="M504"/>
  <c r="K506"/>
  <c r="L507"/>
  <c r="M508"/>
  <c r="K510"/>
  <c r="L511"/>
  <c r="M512"/>
  <c r="K514"/>
  <c r="L515"/>
  <c r="M516"/>
  <c r="K518"/>
  <c r="L519"/>
  <c r="M520"/>
  <c r="K522"/>
  <c r="L523"/>
  <c r="M524"/>
  <c r="K526"/>
  <c r="L527"/>
  <c r="M528"/>
  <c r="K530"/>
  <c r="L531"/>
  <c r="M532"/>
  <c r="K534"/>
  <c r="L535"/>
  <c r="M536"/>
  <c r="K538"/>
  <c r="L539"/>
  <c r="M540"/>
  <c r="K542"/>
  <c r="L543"/>
  <c r="M544"/>
  <c r="K546"/>
  <c r="L547"/>
  <c r="M548"/>
  <c r="K550"/>
  <c r="L551"/>
  <c r="M552"/>
  <c r="K554"/>
  <c r="L555"/>
  <c r="M556"/>
  <c r="K558"/>
  <c r="L559"/>
  <c r="M560"/>
  <c r="K562"/>
  <c r="L563"/>
  <c r="M564"/>
  <c r="K566"/>
  <c r="L567"/>
  <c r="M568"/>
  <c r="K570"/>
  <c r="L571"/>
  <c r="M572"/>
  <c r="K574"/>
  <c r="L575"/>
  <c r="M576"/>
  <c r="K578"/>
  <c r="L579"/>
  <c r="M580"/>
  <c r="K582"/>
  <c r="L583"/>
  <c r="M584"/>
  <c r="K586"/>
  <c r="L587"/>
  <c r="M588"/>
  <c r="K590"/>
  <c r="L591"/>
  <c r="M592"/>
  <c r="K594"/>
  <c r="L595"/>
  <c r="M596"/>
  <c r="K598"/>
  <c r="L599"/>
  <c r="M600"/>
  <c r="K602"/>
  <c r="L603"/>
  <c r="M604"/>
  <c r="K606"/>
  <c r="L607"/>
  <c r="M608"/>
  <c r="K610"/>
  <c r="L611"/>
  <c r="M612"/>
  <c r="K614"/>
  <c r="L615"/>
  <c r="M616"/>
  <c r="K618"/>
  <c r="L619"/>
  <c r="M620"/>
  <c r="K622"/>
  <c r="L623"/>
  <c r="M624"/>
  <c r="K626"/>
  <c r="L627"/>
  <c r="M628"/>
  <c r="K630"/>
  <c r="L631"/>
  <c r="M632"/>
  <c r="K634"/>
  <c r="L635"/>
  <c r="M636"/>
  <c r="K638"/>
  <c r="L639"/>
  <c r="M640"/>
  <c r="K642"/>
  <c r="L643"/>
  <c r="M644"/>
  <c r="K646"/>
  <c r="L647"/>
  <c r="M648"/>
  <c r="K650"/>
  <c r="L651"/>
  <c r="M652"/>
  <c r="K654"/>
  <c r="L655"/>
  <c r="M656"/>
  <c r="K658"/>
  <c r="L659"/>
  <c r="M660"/>
  <c r="K662"/>
  <c r="L663"/>
  <c r="M664"/>
  <c r="K666"/>
  <c r="L667"/>
  <c r="M668"/>
  <c r="K670"/>
  <c r="L671"/>
  <c r="M672"/>
  <c r="K674"/>
  <c r="L675"/>
  <c r="M676"/>
  <c r="K678"/>
  <c r="L679"/>
  <c r="M680"/>
  <c r="K682"/>
  <c r="L683"/>
  <c r="M684"/>
  <c r="K686"/>
  <c r="L687"/>
  <c r="M688"/>
  <c r="K690"/>
  <c r="L691"/>
  <c r="M692"/>
  <c r="K694"/>
  <c r="L695"/>
  <c r="M696"/>
  <c r="K698"/>
  <c r="L699"/>
  <c r="M700"/>
  <c r="K702"/>
  <c r="L703"/>
  <c r="M704"/>
  <c r="K706"/>
  <c r="L707"/>
  <c r="M708"/>
  <c r="K710"/>
  <c r="L711"/>
  <c r="M712"/>
  <c r="K714"/>
  <c r="L715"/>
  <c r="M716"/>
  <c r="K718"/>
  <c r="L719"/>
  <c r="M720"/>
  <c r="K722"/>
  <c r="L723"/>
  <c r="M724"/>
  <c r="K726"/>
  <c r="L727"/>
  <c r="M728"/>
  <c r="K730"/>
  <c r="L731"/>
  <c r="M732"/>
  <c r="K734"/>
  <c r="L735"/>
  <c r="M736"/>
  <c r="K738"/>
  <c r="L739"/>
  <c r="M740"/>
  <c r="K742"/>
  <c r="L743"/>
  <c r="M744"/>
  <c r="K746"/>
  <c r="L747"/>
  <c r="M748"/>
  <c r="K750"/>
  <c r="L751"/>
  <c r="M752"/>
  <c r="K754"/>
  <c r="L755"/>
  <c r="M756"/>
  <c r="K758"/>
  <c r="L759"/>
  <c r="M760"/>
  <c r="K762"/>
  <c r="L763"/>
  <c r="M764"/>
  <c r="K766"/>
  <c r="L767"/>
  <c r="M768"/>
  <c r="K770"/>
  <c r="L771"/>
  <c r="M772"/>
  <c r="K774"/>
  <c r="L775"/>
  <c r="M776"/>
  <c r="K778"/>
  <c r="L779"/>
  <c r="M780"/>
  <c r="K782"/>
  <c r="L783"/>
  <c r="M784"/>
  <c r="K786"/>
  <c r="L787"/>
  <c r="M788"/>
  <c r="K790"/>
  <c r="L791"/>
  <c r="M792"/>
  <c r="K794"/>
  <c r="L795"/>
  <c r="M796"/>
  <c r="K798"/>
  <c r="L799"/>
  <c r="M800"/>
  <c r="K802"/>
  <c r="L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35"/>
  <c r="J41"/>
  <c r="M45"/>
  <c r="M51"/>
  <c r="J57"/>
  <c r="M61"/>
  <c r="M67"/>
  <c r="J73"/>
  <c r="M77"/>
  <c r="M83"/>
  <c r="J89"/>
  <c r="M93"/>
  <c r="M99"/>
  <c r="J105"/>
  <c r="M109"/>
  <c r="M115"/>
  <c r="J121"/>
  <c r="M125"/>
  <c r="M131"/>
  <c r="J137"/>
  <c r="M141"/>
  <c r="M147"/>
  <c r="J153"/>
  <c r="M157"/>
  <c r="M163"/>
  <c r="J169"/>
  <c r="M173"/>
  <c r="M179"/>
  <c r="J185"/>
  <c r="M189"/>
  <c r="M195"/>
  <c r="J201"/>
  <c r="M205"/>
  <c r="M211"/>
  <c r="J217"/>
  <c r="M221"/>
  <c r="M227"/>
  <c r="J233"/>
  <c r="M237"/>
  <c r="M243"/>
  <c r="J249"/>
  <c r="M253"/>
  <c r="M259"/>
  <c r="J265"/>
  <c r="M269"/>
  <c r="M275"/>
  <c r="J281"/>
  <c r="M285"/>
  <c r="K291"/>
  <c r="J294"/>
  <c r="K296"/>
  <c r="K299"/>
  <c r="J302"/>
  <c r="K304"/>
  <c r="K307"/>
  <c r="J310"/>
  <c r="K312"/>
  <c r="K315"/>
  <c r="J318"/>
  <c r="K320"/>
  <c r="K323"/>
  <c r="J326"/>
  <c r="K328"/>
  <c r="K331"/>
  <c r="J334"/>
  <c r="K336"/>
  <c r="K339"/>
  <c r="J342"/>
  <c r="K344"/>
  <c r="K347"/>
  <c r="J350"/>
  <c r="K352"/>
  <c r="K355"/>
  <c r="J358"/>
  <c r="K360"/>
  <c r="K363"/>
  <c r="J366"/>
  <c r="K368"/>
  <c r="K371"/>
  <c r="J374"/>
  <c r="K376"/>
  <c r="K379"/>
  <c r="J382"/>
  <c r="K384"/>
  <c r="K387"/>
  <c r="J390"/>
  <c r="K392"/>
  <c r="K395"/>
  <c r="J398"/>
  <c r="K400"/>
  <c r="K403"/>
  <c r="J406"/>
  <c r="K408"/>
  <c r="K411"/>
  <c r="J414"/>
  <c r="K416"/>
  <c r="K419"/>
  <c r="J421"/>
  <c r="M422"/>
  <c r="M424"/>
  <c r="K426"/>
  <c r="M427"/>
  <c r="K429"/>
  <c r="L430"/>
  <c r="M431"/>
  <c r="K433"/>
  <c r="L434"/>
  <c r="M435"/>
  <c r="K437"/>
  <c r="L438"/>
  <c r="M439"/>
  <c r="K441"/>
  <c r="L442"/>
  <c r="M443"/>
  <c r="K445"/>
  <c r="L446"/>
  <c r="M447"/>
  <c r="K449"/>
  <c r="L450"/>
  <c r="M451"/>
  <c r="K453"/>
  <c r="L454"/>
  <c r="M455"/>
  <c r="K457"/>
  <c r="L458"/>
  <c r="M459"/>
  <c r="K461"/>
  <c r="L462"/>
  <c r="M463"/>
  <c r="K465"/>
  <c r="L466"/>
  <c r="M467"/>
  <c r="K469"/>
  <c r="L470"/>
  <c r="M471"/>
  <c r="K473"/>
  <c r="L474"/>
  <c r="M475"/>
  <c r="K477"/>
  <c r="L478"/>
  <c r="M479"/>
  <c r="K481"/>
  <c r="L482"/>
  <c r="M483"/>
  <c r="K485"/>
  <c r="L486"/>
  <c r="M487"/>
  <c r="K489"/>
  <c r="L490"/>
  <c r="M491"/>
  <c r="K493"/>
  <c r="L494"/>
  <c r="M495"/>
  <c r="K497"/>
  <c r="L498"/>
  <c r="M499"/>
  <c r="K501"/>
  <c r="L502"/>
  <c r="M503"/>
  <c r="K505"/>
  <c r="L506"/>
  <c r="M507"/>
  <c r="K509"/>
  <c r="L510"/>
  <c r="M511"/>
  <c r="K513"/>
  <c r="L514"/>
  <c r="M515"/>
  <c r="K517"/>
  <c r="L518"/>
  <c r="M519"/>
  <c r="K521"/>
  <c r="L522"/>
  <c r="M523"/>
  <c r="K525"/>
  <c r="L526"/>
  <c r="M527"/>
  <c r="K529"/>
  <c r="L530"/>
  <c r="M531"/>
  <c r="K533"/>
  <c r="L534"/>
  <c r="M535"/>
  <c r="K537"/>
  <c r="L538"/>
  <c r="M539"/>
  <c r="K541"/>
  <c r="L542"/>
  <c r="M543"/>
  <c r="K545"/>
  <c r="L546"/>
  <c r="M547"/>
  <c r="K549"/>
  <c r="L550"/>
  <c r="M551"/>
  <c r="K553"/>
  <c r="L554"/>
  <c r="M555"/>
  <c r="K557"/>
  <c r="L558"/>
  <c r="M559"/>
  <c r="K561"/>
  <c r="L562"/>
  <c r="M563"/>
  <c r="K565"/>
  <c r="L566"/>
  <c r="M567"/>
  <c r="K569"/>
  <c r="L570"/>
  <c r="M571"/>
  <c r="K573"/>
  <c r="L574"/>
  <c r="M575"/>
  <c r="K577"/>
  <c r="L578"/>
  <c r="M579"/>
  <c r="K581"/>
  <c r="L582"/>
  <c r="M583"/>
  <c r="K585"/>
  <c r="L586"/>
  <c r="M587"/>
  <c r="K589"/>
  <c r="L590"/>
  <c r="M591"/>
  <c r="K593"/>
  <c r="L594"/>
  <c r="M595"/>
  <c r="K597"/>
  <c r="L598"/>
  <c r="M599"/>
  <c r="K601"/>
  <c r="L602"/>
  <c r="M603"/>
  <c r="K605"/>
  <c r="L606"/>
  <c r="M607"/>
  <c r="K609"/>
  <c r="L610"/>
  <c r="M611"/>
  <c r="K613"/>
  <c r="L614"/>
  <c r="M615"/>
  <c r="K617"/>
  <c r="L618"/>
  <c r="M619"/>
  <c r="K621"/>
  <c r="L622"/>
  <c r="M623"/>
  <c r="K625"/>
  <c r="L626"/>
  <c r="M627"/>
  <c r="K629"/>
  <c r="L630"/>
  <c r="M631"/>
  <c r="K633"/>
  <c r="L634"/>
  <c r="M635"/>
  <c r="K637"/>
  <c r="L638"/>
  <c r="M639"/>
  <c r="K641"/>
  <c r="L642"/>
  <c r="M643"/>
  <c r="K645"/>
  <c r="L646"/>
  <c r="M647"/>
  <c r="K649"/>
  <c r="L650"/>
  <c r="M651"/>
  <c r="K653"/>
  <c r="L654"/>
  <c r="M655"/>
  <c r="K657"/>
  <c r="L658"/>
  <c r="M659"/>
  <c r="K661"/>
  <c r="L662"/>
  <c r="M663"/>
  <c r="K665"/>
  <c r="L666"/>
  <c r="M667"/>
  <c r="K669"/>
  <c r="L670"/>
  <c r="M671"/>
  <c r="K673"/>
  <c r="L674"/>
  <c r="M675"/>
  <c r="K677"/>
  <c r="L678"/>
  <c r="M679"/>
  <c r="K681"/>
  <c r="L682"/>
  <c r="M683"/>
  <c r="K685"/>
  <c r="L686"/>
  <c r="M687"/>
  <c r="K689"/>
  <c r="L690"/>
  <c r="M691"/>
  <c r="K693"/>
  <c r="L694"/>
  <c r="M695"/>
  <c r="K697"/>
  <c r="L698"/>
  <c r="M699"/>
  <c r="K701"/>
  <c r="L702"/>
  <c r="M703"/>
  <c r="K705"/>
  <c r="L706"/>
  <c r="M707"/>
  <c r="K709"/>
  <c r="L710"/>
  <c r="M711"/>
  <c r="K713"/>
  <c r="L714"/>
  <c r="M715"/>
  <c r="K717"/>
  <c r="L718"/>
  <c r="M719"/>
  <c r="K721"/>
  <c r="L722"/>
  <c r="M723"/>
  <c r="K725"/>
  <c r="L726"/>
  <c r="M727"/>
  <c r="K729"/>
  <c r="L730"/>
  <c r="M731"/>
  <c r="K733"/>
  <c r="L734"/>
  <c r="M735"/>
  <c r="K737"/>
  <c r="L738"/>
  <c r="M739"/>
  <c r="K741"/>
  <c r="L742"/>
  <c r="M743"/>
  <c r="K745"/>
  <c r="L746"/>
  <c r="M747"/>
  <c r="K749"/>
  <c r="L750"/>
  <c r="M751"/>
  <c r="K753"/>
  <c r="L754"/>
  <c r="M755"/>
  <c r="K757"/>
  <c r="L758"/>
  <c r="M759"/>
  <c r="K761"/>
  <c r="L762"/>
  <c r="M763"/>
  <c r="K765"/>
  <c r="L766"/>
  <c r="M767"/>
  <c r="K769"/>
  <c r="L770"/>
  <c r="M771"/>
  <c r="K773"/>
  <c r="L774"/>
  <c r="M775"/>
  <c r="K777"/>
  <c r="L778"/>
  <c r="M779"/>
  <c r="K781"/>
  <c r="L782"/>
  <c r="M783"/>
  <c r="K785"/>
  <c r="L786"/>
  <c r="M787"/>
  <c r="K789"/>
  <c r="L790"/>
  <c r="M791"/>
  <c r="K793"/>
  <c r="L794"/>
  <c r="M795"/>
  <c r="K797"/>
  <c r="L798"/>
  <c r="M799"/>
  <c r="K801"/>
  <c r="L802"/>
  <c r="M803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M41"/>
  <c r="J53"/>
  <c r="M63"/>
  <c r="M73"/>
  <c r="J85"/>
  <c r="M95"/>
  <c r="M105"/>
  <c r="J117"/>
  <c r="M127"/>
  <c r="M137"/>
  <c r="J149"/>
  <c r="M159"/>
  <c r="M169"/>
  <c r="J181"/>
  <c r="M191"/>
  <c r="M201"/>
  <c r="J213"/>
  <c r="M223"/>
  <c r="M233"/>
  <c r="J245"/>
  <c r="M255"/>
  <c r="M265"/>
  <c r="J277"/>
  <c r="M287"/>
  <c r="K294"/>
  <c r="J300"/>
  <c r="K305"/>
  <c r="K310"/>
  <c r="J316"/>
  <c r="K321"/>
  <c r="K326"/>
  <c r="J332"/>
  <c r="K337"/>
  <c r="K342"/>
  <c r="J348"/>
  <c r="K353"/>
  <c r="K358"/>
  <c r="J364"/>
  <c r="K369"/>
  <c r="K374"/>
  <c r="J380"/>
  <c r="K385"/>
  <c r="K390"/>
  <c r="J396"/>
  <c r="K401"/>
  <c r="K406"/>
  <c r="J412"/>
  <c r="K417"/>
  <c r="K421"/>
  <c r="J425"/>
  <c r="K428"/>
  <c r="M430"/>
  <c r="L433"/>
  <c r="K436"/>
  <c r="M438"/>
  <c r="L441"/>
  <c r="K444"/>
  <c r="M446"/>
  <c r="L449"/>
  <c r="K452"/>
  <c r="M454"/>
  <c r="L457"/>
  <c r="K460"/>
  <c r="M462"/>
  <c r="L465"/>
  <c r="K468"/>
  <c r="M470"/>
  <c r="L473"/>
  <c r="K476"/>
  <c r="M478"/>
  <c r="L481"/>
  <c r="K484"/>
  <c r="M486"/>
  <c r="L489"/>
  <c r="K492"/>
  <c r="M494"/>
  <c r="L497"/>
  <c r="K500"/>
  <c r="M502"/>
  <c r="L505"/>
  <c r="K508"/>
  <c r="M510"/>
  <c r="L513"/>
  <c r="K516"/>
  <c r="M518"/>
  <c r="L521"/>
  <c r="K524"/>
  <c r="M526"/>
  <c r="L529"/>
  <c r="K532"/>
  <c r="M534"/>
  <c r="L537"/>
  <c r="K540"/>
  <c r="M542"/>
  <c r="L545"/>
  <c r="K548"/>
  <c r="M550"/>
  <c r="L553"/>
  <c r="K556"/>
  <c r="M558"/>
  <c r="L561"/>
  <c r="K564"/>
  <c r="M566"/>
  <c r="L569"/>
  <c r="K572"/>
  <c r="M574"/>
  <c r="L577"/>
  <c r="K580"/>
  <c r="M582"/>
  <c r="L585"/>
  <c r="K588"/>
  <c r="M590"/>
  <c r="L593"/>
  <c r="K596"/>
  <c r="M598"/>
  <c r="L601"/>
  <c r="K604"/>
  <c r="M606"/>
  <c r="L609"/>
  <c r="K612"/>
  <c r="M614"/>
  <c r="L617"/>
  <c r="K620"/>
  <c r="M622"/>
  <c r="L625"/>
  <c r="K628"/>
  <c r="M630"/>
  <c r="L633"/>
  <c r="K636"/>
  <c r="M638"/>
  <c r="L641"/>
  <c r="K644"/>
  <c r="M646"/>
  <c r="L649"/>
  <c r="K652"/>
  <c r="M654"/>
  <c r="L657"/>
  <c r="K660"/>
  <c r="M662"/>
  <c r="L665"/>
  <c r="K668"/>
  <c r="M670"/>
  <c r="L673"/>
  <c r="K676"/>
  <c r="M678"/>
  <c r="L681"/>
  <c r="K684"/>
  <c r="M686"/>
  <c r="L689"/>
  <c r="K692"/>
  <c r="M694"/>
  <c r="L697"/>
  <c r="K700"/>
  <c r="M702"/>
  <c r="L705"/>
  <c r="K708"/>
  <c r="M710"/>
  <c r="L713"/>
  <c r="K716"/>
  <c r="M718"/>
  <c r="L721"/>
  <c r="K724"/>
  <c r="M726"/>
  <c r="L729"/>
  <c r="K732"/>
  <c r="M734"/>
  <c r="L737"/>
  <c r="K740"/>
  <c r="M742"/>
  <c r="L745"/>
  <c r="K748"/>
  <c r="M750"/>
  <c r="L753"/>
  <c r="K756"/>
  <c r="M758"/>
  <c r="L761"/>
  <c r="K764"/>
  <c r="M766"/>
  <c r="L769"/>
  <c r="K772"/>
  <c r="M774"/>
  <c r="L777"/>
  <c r="K780"/>
  <c r="M782"/>
  <c r="L785"/>
  <c r="K788"/>
  <c r="M790"/>
  <c r="L793"/>
  <c r="K796"/>
  <c r="M798"/>
  <c r="L801"/>
  <c r="K804"/>
  <c r="K806"/>
  <c r="K808"/>
  <c r="K810"/>
  <c r="K812"/>
  <c r="K814"/>
  <c r="K816"/>
  <c r="K818"/>
  <c r="K820"/>
  <c r="K822"/>
  <c r="K824"/>
  <c r="K826"/>
  <c r="K828"/>
  <c r="K830"/>
  <c r="K832"/>
  <c r="K834"/>
  <c r="K836"/>
  <c r="K838"/>
  <c r="K840"/>
  <c r="K842"/>
  <c r="K844"/>
  <c r="K846"/>
  <c r="K848"/>
  <c r="K850"/>
  <c r="K852"/>
  <c r="K854"/>
  <c r="K856"/>
  <c r="K858"/>
  <c r="K860"/>
  <c r="K862"/>
  <c r="K864"/>
  <c r="K866"/>
  <c r="K868"/>
  <c r="K870"/>
  <c r="K872"/>
  <c r="K874"/>
  <c r="K876"/>
  <c r="K878"/>
  <c r="K880"/>
  <c r="K882"/>
  <c r="K884"/>
  <c r="K886"/>
  <c r="K888"/>
  <c r="K890"/>
  <c r="K892"/>
  <c r="K894"/>
  <c r="K896"/>
  <c r="K898"/>
  <c r="K900"/>
  <c r="K902"/>
  <c r="K904"/>
  <c r="K906"/>
  <c r="K908"/>
  <c r="K910"/>
  <c r="K912"/>
  <c r="K914"/>
  <c r="K916"/>
  <c r="K918"/>
  <c r="K920"/>
  <c r="K922"/>
  <c r="K924"/>
  <c r="K926"/>
  <c r="K928"/>
  <c r="K930"/>
  <c r="K932"/>
  <c r="M933"/>
  <c r="K935"/>
  <c r="L936"/>
  <c r="M937"/>
  <c r="K939"/>
  <c r="L940"/>
  <c r="M941"/>
  <c r="K943"/>
  <c r="L944"/>
  <c r="M945"/>
  <c r="K947"/>
  <c r="L948"/>
  <c r="M949"/>
  <c r="K951"/>
  <c r="L952"/>
  <c r="M953"/>
  <c r="K955"/>
  <c r="L956"/>
  <c r="M957"/>
  <c r="K959"/>
  <c r="L960"/>
  <c r="M961"/>
  <c r="K963"/>
  <c r="L964"/>
  <c r="M965"/>
  <c r="K967"/>
  <c r="L968"/>
  <c r="M969"/>
  <c r="K971"/>
  <c r="L972"/>
  <c r="M973"/>
  <c r="K975"/>
  <c r="L976"/>
  <c r="M977"/>
  <c r="K979"/>
  <c r="L980"/>
  <c r="M981"/>
  <c r="K983"/>
  <c r="L984"/>
  <c r="M985"/>
  <c r="K987"/>
  <c r="L988"/>
  <c r="M989"/>
  <c r="K991"/>
  <c r="L992"/>
  <c r="M993"/>
  <c r="K995"/>
  <c r="L996"/>
  <c r="M997"/>
  <c r="K999"/>
  <c r="L1000"/>
  <c r="M1001"/>
  <c r="K1003"/>
  <c r="L1004"/>
  <c r="M1005"/>
  <c r="K1007"/>
  <c r="L1008"/>
  <c r="M1009"/>
  <c r="K1011"/>
  <c r="L1012"/>
  <c r="M1013"/>
  <c r="K1015"/>
  <c r="L1016"/>
  <c r="M1017"/>
  <c r="K1019"/>
  <c r="L1020"/>
  <c r="M1021"/>
  <c r="K1023"/>
  <c r="L1024"/>
  <c r="M1025"/>
  <c r="K1027"/>
  <c r="L1028"/>
  <c r="M1029"/>
  <c r="K1031"/>
  <c r="L1032"/>
  <c r="M1033"/>
  <c r="K1035"/>
  <c r="L1036"/>
  <c r="M1037"/>
  <c r="K1039"/>
  <c r="L1040"/>
  <c r="M1041"/>
  <c r="K1043"/>
  <c r="L1044"/>
  <c r="M1045"/>
  <c r="K1047"/>
  <c r="L1048"/>
  <c r="M1049"/>
  <c r="K1051"/>
  <c r="L1052"/>
  <c r="M1053"/>
  <c r="K1055"/>
  <c r="L1056"/>
  <c r="M1057"/>
  <c r="K1059"/>
  <c r="L1060"/>
  <c r="M1061"/>
  <c r="K1063"/>
  <c r="L1064"/>
  <c r="M1065"/>
  <c r="K1067"/>
  <c r="L1068"/>
  <c r="M1069"/>
  <c r="K1071"/>
  <c r="L1072"/>
  <c r="M1073"/>
  <c r="K1075"/>
  <c r="L1076"/>
  <c r="M1077"/>
  <c r="K1079"/>
  <c r="L1080"/>
  <c r="M1081"/>
  <c r="K1083"/>
  <c r="L1084"/>
  <c r="M1085"/>
  <c r="K1087"/>
  <c r="L1088"/>
  <c r="M1089"/>
  <c r="K1091"/>
  <c r="L1092"/>
  <c r="M1093"/>
  <c r="K1095"/>
  <c r="L1096"/>
  <c r="M1097"/>
  <c r="K1099"/>
  <c r="L1100"/>
  <c r="M1101"/>
  <c r="K1103"/>
  <c r="L1104"/>
  <c r="M1105"/>
  <c r="K1107"/>
  <c r="L1108"/>
  <c r="M1109"/>
  <c r="K1111"/>
  <c r="L1112"/>
  <c r="M1113"/>
  <c r="K1115"/>
  <c r="L1116"/>
  <c r="M1117"/>
  <c r="K1119"/>
  <c r="L1120"/>
  <c r="M1121"/>
  <c r="K1123"/>
  <c r="L1124"/>
  <c r="M1125"/>
  <c r="K1127"/>
  <c r="L1128"/>
  <c r="M1129"/>
  <c r="K1131"/>
  <c r="L1132"/>
  <c r="M1133"/>
  <c r="K1135"/>
  <c r="L1136"/>
  <c r="M1137"/>
  <c r="K1139"/>
  <c r="L1140"/>
  <c r="M1141"/>
  <c r="K1143"/>
  <c r="L1144"/>
  <c r="M1145"/>
  <c r="K1147"/>
  <c r="L1148"/>
  <c r="M1149"/>
  <c r="K1151"/>
  <c r="L1152"/>
  <c r="M1153"/>
  <c r="K1155"/>
  <c r="L1156"/>
  <c r="M1157"/>
  <c r="K1159"/>
  <c r="L1160"/>
  <c r="M1161"/>
  <c r="K1163"/>
  <c r="L1164"/>
  <c r="M1165"/>
  <c r="K1167"/>
  <c r="L1168"/>
  <c r="M1169"/>
  <c r="K1171"/>
  <c r="L1172"/>
  <c r="M1173"/>
  <c r="K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M43"/>
  <c r="M57"/>
  <c r="M69"/>
  <c r="M85"/>
  <c r="J101"/>
  <c r="J113"/>
  <c r="J129"/>
  <c r="M143"/>
  <c r="M155"/>
  <c r="M171"/>
  <c r="M185"/>
  <c r="M197"/>
  <c r="M213"/>
  <c r="J229"/>
  <c r="J241"/>
  <c r="J257"/>
  <c r="M271"/>
  <c r="M283"/>
  <c r="K295"/>
  <c r="K302"/>
  <c r="K308"/>
  <c r="K316"/>
  <c r="J324"/>
  <c r="J330"/>
  <c r="J338"/>
  <c r="K345"/>
  <c r="K351"/>
  <c r="K359"/>
  <c r="K366"/>
  <c r="K372"/>
  <c r="K380"/>
  <c r="J388"/>
  <c r="J394"/>
  <c r="J402"/>
  <c r="K409"/>
  <c r="K415"/>
  <c r="J422"/>
  <c r="M426"/>
  <c r="M429"/>
  <c r="M433"/>
  <c r="L437"/>
  <c r="L440"/>
  <c r="L444"/>
  <c r="K448"/>
  <c r="K451"/>
  <c r="K455"/>
  <c r="M458"/>
  <c r="M461"/>
  <c r="M465"/>
  <c r="L469"/>
  <c r="L472"/>
  <c r="L476"/>
  <c r="K480"/>
  <c r="K483"/>
  <c r="K487"/>
  <c r="M490"/>
  <c r="M493"/>
  <c r="M497"/>
  <c r="L501"/>
  <c r="L504"/>
  <c r="L508"/>
  <c r="K512"/>
  <c r="K515"/>
  <c r="K519"/>
  <c r="M522"/>
  <c r="M525"/>
  <c r="M529"/>
  <c r="L533"/>
  <c r="L536"/>
  <c r="L540"/>
  <c r="K544"/>
  <c r="K547"/>
  <c r="K551"/>
  <c r="M554"/>
  <c r="M557"/>
  <c r="M561"/>
  <c r="L565"/>
  <c r="L568"/>
  <c r="L572"/>
  <c r="K576"/>
  <c r="K579"/>
  <c r="K583"/>
  <c r="M586"/>
  <c r="M589"/>
  <c r="M593"/>
  <c r="L597"/>
  <c r="L600"/>
  <c r="L604"/>
  <c r="K608"/>
  <c r="K611"/>
  <c r="K615"/>
  <c r="M618"/>
  <c r="M621"/>
  <c r="M625"/>
  <c r="L629"/>
  <c r="L632"/>
  <c r="L636"/>
  <c r="K640"/>
  <c r="K643"/>
  <c r="K647"/>
  <c r="M650"/>
  <c r="M653"/>
  <c r="M657"/>
  <c r="L661"/>
  <c r="L664"/>
  <c r="L668"/>
  <c r="K672"/>
  <c r="K675"/>
  <c r="K679"/>
  <c r="M682"/>
  <c r="M685"/>
  <c r="M689"/>
  <c r="L693"/>
  <c r="L696"/>
  <c r="L700"/>
  <c r="K704"/>
  <c r="K707"/>
  <c r="K711"/>
  <c r="M714"/>
  <c r="M717"/>
  <c r="M721"/>
  <c r="L725"/>
  <c r="L728"/>
  <c r="L732"/>
  <c r="K736"/>
  <c r="K739"/>
  <c r="K743"/>
  <c r="M746"/>
  <c r="M749"/>
  <c r="M753"/>
  <c r="L757"/>
  <c r="L760"/>
  <c r="L764"/>
  <c r="K768"/>
  <c r="K771"/>
  <c r="K775"/>
  <c r="M778"/>
  <c r="M781"/>
  <c r="M785"/>
  <c r="L789"/>
  <c r="L792"/>
  <c r="L796"/>
  <c r="K800"/>
  <c r="K803"/>
  <c r="L806"/>
  <c r="K809"/>
  <c r="L811"/>
  <c r="L814"/>
  <c r="K817"/>
  <c r="L819"/>
  <c r="L822"/>
  <c r="K825"/>
  <c r="L827"/>
  <c r="L830"/>
  <c r="K833"/>
  <c r="L835"/>
  <c r="L838"/>
  <c r="K841"/>
  <c r="L843"/>
  <c r="L846"/>
  <c r="K849"/>
  <c r="L851"/>
  <c r="L854"/>
  <c r="K857"/>
  <c r="L859"/>
  <c r="L862"/>
  <c r="K865"/>
  <c r="L867"/>
  <c r="L870"/>
  <c r="K873"/>
  <c r="L875"/>
  <c r="L878"/>
  <c r="K881"/>
  <c r="L883"/>
  <c r="L886"/>
  <c r="K889"/>
  <c r="L891"/>
  <c r="L894"/>
  <c r="K897"/>
  <c r="L899"/>
  <c r="L902"/>
  <c r="K905"/>
  <c r="L907"/>
  <c r="L910"/>
  <c r="K913"/>
  <c r="L915"/>
  <c r="L918"/>
  <c r="K921"/>
  <c r="L923"/>
  <c r="L926"/>
  <c r="K929"/>
  <c r="L931"/>
  <c r="K934"/>
  <c r="M935"/>
  <c r="L937"/>
  <c r="L939"/>
  <c r="K941"/>
  <c r="M942"/>
  <c r="M944"/>
  <c r="L946"/>
  <c r="K948"/>
  <c r="K950"/>
  <c r="M951"/>
  <c r="L953"/>
  <c r="L955"/>
  <c r="K957"/>
  <c r="M958"/>
  <c r="M960"/>
  <c r="L962"/>
  <c r="K964"/>
  <c r="K966"/>
  <c r="M967"/>
  <c r="L969"/>
  <c r="L971"/>
  <c r="K973"/>
  <c r="M974"/>
  <c r="M976"/>
  <c r="L978"/>
  <c r="K980"/>
  <c r="K982"/>
  <c r="M983"/>
  <c r="L985"/>
  <c r="L987"/>
  <c r="K989"/>
  <c r="M990"/>
  <c r="M992"/>
  <c r="L994"/>
  <c r="K996"/>
  <c r="K998"/>
  <c r="M999"/>
  <c r="L1001"/>
  <c r="L1003"/>
  <c r="K1005"/>
  <c r="M1006"/>
  <c r="M1008"/>
  <c r="L1010"/>
  <c r="K1012"/>
  <c r="K1014"/>
  <c r="M1015"/>
  <c r="L1017"/>
  <c r="L1019"/>
  <c r="K1021"/>
  <c r="M1022"/>
  <c r="M1024"/>
  <c r="L1026"/>
  <c r="K1028"/>
  <c r="K1030"/>
  <c r="M1031"/>
  <c r="L1033"/>
  <c r="L1035"/>
  <c r="K1037"/>
  <c r="M1038"/>
  <c r="M1040"/>
  <c r="L1042"/>
  <c r="K1044"/>
  <c r="K1046"/>
  <c r="M1047"/>
  <c r="L1049"/>
  <c r="L1051"/>
  <c r="K1053"/>
  <c r="M1054"/>
  <c r="M1056"/>
  <c r="L1058"/>
  <c r="K1060"/>
  <c r="K1062"/>
  <c r="M1063"/>
  <c r="L1065"/>
  <c r="L1067"/>
  <c r="K1069"/>
  <c r="M1070"/>
  <c r="M1072"/>
  <c r="L1074"/>
  <c r="K1076"/>
  <c r="K1078"/>
  <c r="M1079"/>
  <c r="L1081"/>
  <c r="L1083"/>
  <c r="K1085"/>
  <c r="M1086"/>
  <c r="M1088"/>
  <c r="L1090"/>
  <c r="K1092"/>
  <c r="K1094"/>
  <c r="M1095"/>
  <c r="L1097"/>
  <c r="L1099"/>
  <c r="K1101"/>
  <c r="M1102"/>
  <c r="M1104"/>
  <c r="L1106"/>
  <c r="K1108"/>
  <c r="K1110"/>
  <c r="M1111"/>
  <c r="L1113"/>
  <c r="L1115"/>
  <c r="K1117"/>
  <c r="M1118"/>
  <c r="M1120"/>
  <c r="L1122"/>
  <c r="K1124"/>
  <c r="K1126"/>
  <c r="M1127"/>
  <c r="L1129"/>
  <c r="L1131"/>
  <c r="K1133"/>
  <c r="M1134"/>
  <c r="M1136"/>
  <c r="L1138"/>
  <c r="K1140"/>
  <c r="K1142"/>
  <c r="M1143"/>
  <c r="L1145"/>
  <c r="L1147"/>
  <c r="K1149"/>
  <c r="M1150"/>
  <c r="M1152"/>
  <c r="L1154"/>
  <c r="K1156"/>
  <c r="K1158"/>
  <c r="M1159"/>
  <c r="L1161"/>
  <c r="L1163"/>
  <c r="K1165"/>
  <c r="M1166"/>
  <c r="M1168"/>
  <c r="L1170"/>
  <c r="K1172"/>
  <c r="K1174"/>
  <c r="M1175"/>
  <c r="K1177"/>
  <c r="M1178"/>
  <c r="J1180"/>
  <c r="K1181"/>
  <c r="M1182"/>
  <c r="J1184"/>
  <c r="K1185"/>
  <c r="M1186"/>
  <c r="J1188"/>
  <c r="K1189"/>
  <c r="M1190"/>
  <c r="J1192"/>
  <c r="K1193"/>
  <c r="M1194"/>
  <c r="J1196"/>
  <c r="K1197"/>
  <c r="M1198"/>
  <c r="J1200"/>
  <c r="K1201"/>
  <c r="M1202"/>
  <c r="J1204"/>
  <c r="K1205"/>
  <c r="M1206"/>
  <c r="J1208"/>
  <c r="K1209"/>
  <c r="M1210"/>
  <c r="J1212"/>
  <c r="K1213"/>
  <c r="M1214"/>
  <c r="J1216"/>
  <c r="K1217"/>
  <c r="M1218"/>
  <c r="J1220"/>
  <c r="K1221"/>
  <c r="M1222"/>
  <c r="J1224"/>
  <c r="K1225"/>
  <c r="M1226"/>
  <c r="J1228"/>
  <c r="K1229"/>
  <c r="M1230"/>
  <c r="J1232"/>
  <c r="K1233"/>
  <c r="M1234"/>
  <c r="J1236"/>
  <c r="K1237"/>
  <c r="M1238"/>
  <c r="J1240"/>
  <c r="K1241"/>
  <c r="M1242"/>
  <c r="J1244"/>
  <c r="K1245"/>
  <c r="M1246"/>
  <c r="J1248"/>
  <c r="K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L1319"/>
  <c r="L1320"/>
  <c r="L1321"/>
  <c r="L1322"/>
  <c r="L1323"/>
  <c r="L1324"/>
  <c r="L1325"/>
  <c r="L1326"/>
  <c r="L1327"/>
  <c r="L1328"/>
  <c r="L1329"/>
  <c r="L1330"/>
  <c r="L1331"/>
  <c r="L1332"/>
  <c r="L1333"/>
  <c r="L1334"/>
  <c r="L1335"/>
  <c r="L1336"/>
  <c r="L1337"/>
  <c r="L1338"/>
  <c r="L1339"/>
  <c r="L1340"/>
  <c r="L1341"/>
  <c r="L1342"/>
  <c r="L1343"/>
  <c r="L1344"/>
  <c r="L1345"/>
  <c r="L1346"/>
  <c r="L1347"/>
  <c r="M37"/>
  <c r="M53"/>
  <c r="J69"/>
  <c r="J81"/>
  <c r="J97"/>
  <c r="M111"/>
  <c r="M123"/>
  <c r="M139"/>
  <c r="M153"/>
  <c r="M165"/>
  <c r="M181"/>
  <c r="J197"/>
  <c r="J209"/>
  <c r="J225"/>
  <c r="M239"/>
  <c r="M251"/>
  <c r="M267"/>
  <c r="M281"/>
  <c r="K292"/>
  <c r="K300"/>
  <c r="J308"/>
  <c r="J314"/>
  <c r="J322"/>
  <c r="K329"/>
  <c r="K335"/>
  <c r="K343"/>
  <c r="K350"/>
  <c r="K356"/>
  <c r="K364"/>
  <c r="J372"/>
  <c r="J378"/>
  <c r="J386"/>
  <c r="K393"/>
  <c r="K399"/>
  <c r="K407"/>
  <c r="K414"/>
  <c r="J420"/>
  <c r="K425"/>
  <c r="L429"/>
  <c r="L432"/>
  <c r="L436"/>
  <c r="K440"/>
  <c r="K443"/>
  <c r="K447"/>
  <c r="M450"/>
  <c r="M453"/>
  <c r="M457"/>
  <c r="L461"/>
  <c r="L464"/>
  <c r="L468"/>
  <c r="K472"/>
  <c r="K475"/>
  <c r="K479"/>
  <c r="M482"/>
  <c r="M485"/>
  <c r="M489"/>
  <c r="L493"/>
  <c r="L496"/>
  <c r="L500"/>
  <c r="K504"/>
  <c r="K507"/>
  <c r="K511"/>
  <c r="M514"/>
  <c r="M517"/>
  <c r="M521"/>
  <c r="L525"/>
  <c r="L528"/>
  <c r="L532"/>
  <c r="K536"/>
  <c r="K539"/>
  <c r="K543"/>
  <c r="M546"/>
  <c r="M549"/>
  <c r="M553"/>
  <c r="L557"/>
  <c r="L560"/>
  <c r="L564"/>
  <c r="K568"/>
  <c r="K571"/>
  <c r="K575"/>
  <c r="M578"/>
  <c r="M581"/>
  <c r="M585"/>
  <c r="L589"/>
  <c r="L592"/>
  <c r="L596"/>
  <c r="K600"/>
  <c r="K603"/>
  <c r="K607"/>
  <c r="M610"/>
  <c r="M613"/>
  <c r="M617"/>
  <c r="L621"/>
  <c r="L624"/>
  <c r="L628"/>
  <c r="K632"/>
  <c r="K635"/>
  <c r="K639"/>
  <c r="M642"/>
  <c r="M645"/>
  <c r="M649"/>
  <c r="L653"/>
  <c r="L656"/>
  <c r="L660"/>
  <c r="K664"/>
  <c r="K667"/>
  <c r="K671"/>
  <c r="M674"/>
  <c r="M677"/>
  <c r="M681"/>
  <c r="L685"/>
  <c r="L688"/>
  <c r="L692"/>
  <c r="K696"/>
  <c r="K699"/>
  <c r="K703"/>
  <c r="M706"/>
  <c r="M709"/>
  <c r="M713"/>
  <c r="L717"/>
  <c r="L720"/>
  <c r="L724"/>
  <c r="K728"/>
  <c r="K731"/>
  <c r="K735"/>
  <c r="M738"/>
  <c r="M741"/>
  <c r="M745"/>
  <c r="L749"/>
  <c r="L752"/>
  <c r="L756"/>
  <c r="K760"/>
  <c r="K763"/>
  <c r="K767"/>
  <c r="M770"/>
  <c r="M773"/>
  <c r="M777"/>
  <c r="L781"/>
  <c r="L784"/>
  <c r="L788"/>
  <c r="K792"/>
  <c r="K795"/>
  <c r="K799"/>
  <c r="M802"/>
  <c r="L805"/>
  <c r="L808"/>
  <c r="K811"/>
  <c r="L813"/>
  <c r="L816"/>
  <c r="K819"/>
  <c r="L821"/>
  <c r="L824"/>
  <c r="K827"/>
  <c r="L829"/>
  <c r="L832"/>
  <c r="K835"/>
  <c r="L837"/>
  <c r="L840"/>
  <c r="K843"/>
  <c r="L845"/>
  <c r="L848"/>
  <c r="K851"/>
  <c r="L853"/>
  <c r="L856"/>
  <c r="K859"/>
  <c r="L861"/>
  <c r="L864"/>
  <c r="K867"/>
  <c r="L869"/>
  <c r="L872"/>
  <c r="K875"/>
  <c r="L877"/>
  <c r="L880"/>
  <c r="K883"/>
  <c r="L885"/>
  <c r="L888"/>
  <c r="K891"/>
  <c r="L893"/>
  <c r="L896"/>
  <c r="K899"/>
  <c r="L901"/>
  <c r="L904"/>
  <c r="K907"/>
  <c r="L909"/>
  <c r="L912"/>
  <c r="K915"/>
  <c r="L917"/>
  <c r="L920"/>
  <c r="K923"/>
  <c r="L925"/>
  <c r="L928"/>
  <c r="K931"/>
  <c r="L933"/>
  <c r="L935"/>
  <c r="K937"/>
  <c r="M938"/>
  <c r="M940"/>
  <c r="L942"/>
  <c r="K944"/>
  <c r="K946"/>
  <c r="M947"/>
  <c r="L949"/>
  <c r="L951"/>
  <c r="K953"/>
  <c r="M954"/>
  <c r="M956"/>
  <c r="L958"/>
  <c r="K960"/>
  <c r="K962"/>
  <c r="M963"/>
  <c r="L965"/>
  <c r="L967"/>
  <c r="K969"/>
  <c r="M970"/>
  <c r="M972"/>
  <c r="L974"/>
  <c r="K976"/>
  <c r="K978"/>
  <c r="M979"/>
  <c r="L981"/>
  <c r="L983"/>
  <c r="K985"/>
  <c r="M986"/>
  <c r="M988"/>
  <c r="L990"/>
  <c r="K992"/>
  <c r="K994"/>
  <c r="M995"/>
  <c r="L997"/>
  <c r="L999"/>
  <c r="K1001"/>
  <c r="M1002"/>
  <c r="M1004"/>
  <c r="L1006"/>
  <c r="K1008"/>
  <c r="K1010"/>
  <c r="M1011"/>
  <c r="L1013"/>
  <c r="L1015"/>
  <c r="K1017"/>
  <c r="M1018"/>
  <c r="M1020"/>
  <c r="L1022"/>
  <c r="K1024"/>
  <c r="K1026"/>
  <c r="M1027"/>
  <c r="L1029"/>
  <c r="L1031"/>
  <c r="K1033"/>
  <c r="M1034"/>
  <c r="M1036"/>
  <c r="L1038"/>
  <c r="K1040"/>
  <c r="K1042"/>
  <c r="M1043"/>
  <c r="L1045"/>
  <c r="L1047"/>
  <c r="K1049"/>
  <c r="M1050"/>
  <c r="M1052"/>
  <c r="L1054"/>
  <c r="K1056"/>
  <c r="K1058"/>
  <c r="M1059"/>
  <c r="L1061"/>
  <c r="L1063"/>
  <c r="K1065"/>
  <c r="M1066"/>
  <c r="M1068"/>
  <c r="L1070"/>
  <c r="K1072"/>
  <c r="K1074"/>
  <c r="M1075"/>
  <c r="L1077"/>
  <c r="L1079"/>
  <c r="K1081"/>
  <c r="M1082"/>
  <c r="M1084"/>
  <c r="L1086"/>
  <c r="K1088"/>
  <c r="K1090"/>
  <c r="M1091"/>
  <c r="L1093"/>
  <c r="L1095"/>
  <c r="K1097"/>
  <c r="M1098"/>
  <c r="M1100"/>
  <c r="L1102"/>
  <c r="K1104"/>
  <c r="K1106"/>
  <c r="M1107"/>
  <c r="L1109"/>
  <c r="L1111"/>
  <c r="K1113"/>
  <c r="M1114"/>
  <c r="M1116"/>
  <c r="L1118"/>
  <c r="K1120"/>
  <c r="K1122"/>
  <c r="M1123"/>
  <c r="L1125"/>
  <c r="L1127"/>
  <c r="K1129"/>
  <c r="M1130"/>
  <c r="M1132"/>
  <c r="L1134"/>
  <c r="K1136"/>
  <c r="K1138"/>
  <c r="M1139"/>
  <c r="L1141"/>
  <c r="L1143"/>
  <c r="K1145"/>
  <c r="M1146"/>
  <c r="M1148"/>
  <c r="L1150"/>
  <c r="K1152"/>
  <c r="K1154"/>
  <c r="M1155"/>
  <c r="L1157"/>
  <c r="L1159"/>
  <c r="K1161"/>
  <c r="M1162"/>
  <c r="M1164"/>
  <c r="L1166"/>
  <c r="K1168"/>
  <c r="K1170"/>
  <c r="M1171"/>
  <c r="L1173"/>
  <c r="L1175"/>
  <c r="J1177"/>
  <c r="K1178"/>
  <c r="M1179"/>
  <c r="J1181"/>
  <c r="K1182"/>
  <c r="M1183"/>
  <c r="J1185"/>
  <c r="K1186"/>
  <c r="M1187"/>
  <c r="J1189"/>
  <c r="K1190"/>
  <c r="M1191"/>
  <c r="J1193"/>
  <c r="K1194"/>
  <c r="M1195"/>
  <c r="J1197"/>
  <c r="K1198"/>
  <c r="M1199"/>
  <c r="J1201"/>
  <c r="K1202"/>
  <c r="M1203"/>
  <c r="J1205"/>
  <c r="K1206"/>
  <c r="M1207"/>
  <c r="J1209"/>
  <c r="K1210"/>
  <c r="M1211"/>
  <c r="J1213"/>
  <c r="K1214"/>
  <c r="M1215"/>
  <c r="J1217"/>
  <c r="K1218"/>
  <c r="M1219"/>
  <c r="J1221"/>
  <c r="K1222"/>
  <c r="M1223"/>
  <c r="J1225"/>
  <c r="K1226"/>
  <c r="M1227"/>
  <c r="J1229"/>
  <c r="K1230"/>
  <c r="M1231"/>
  <c r="J1233"/>
  <c r="K1234"/>
  <c r="M1235"/>
  <c r="J1237"/>
  <c r="K1238"/>
  <c r="M1239"/>
  <c r="J1241"/>
  <c r="K1242"/>
  <c r="M1243"/>
  <c r="J1245"/>
  <c r="K1246"/>
  <c r="M1247"/>
  <c r="J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J37"/>
  <c r="J49"/>
  <c r="J65"/>
  <c r="M79"/>
  <c r="M91"/>
  <c r="M107"/>
  <c r="M121"/>
  <c r="M133"/>
  <c r="M149"/>
  <c r="J165"/>
  <c r="J177"/>
  <c r="J193"/>
  <c r="M207"/>
  <c r="M219"/>
  <c r="M235"/>
  <c r="M249"/>
  <c r="M261"/>
  <c r="M277"/>
  <c r="J292"/>
  <c r="J298"/>
  <c r="J306"/>
  <c r="K313"/>
  <c r="K319"/>
  <c r="K327"/>
  <c r="K334"/>
  <c r="K340"/>
  <c r="K348"/>
  <c r="J356"/>
  <c r="J362"/>
  <c r="J370"/>
  <c r="K377"/>
  <c r="K383"/>
  <c r="K391"/>
  <c r="K398"/>
  <c r="K404"/>
  <c r="K412"/>
  <c r="M419"/>
  <c r="M423"/>
  <c r="L428"/>
  <c r="K432"/>
  <c r="K435"/>
  <c r="K439"/>
  <c r="M442"/>
  <c r="M445"/>
  <c r="M449"/>
  <c r="L453"/>
  <c r="L456"/>
  <c r="L460"/>
  <c r="K464"/>
  <c r="K467"/>
  <c r="K471"/>
  <c r="M474"/>
  <c r="M477"/>
  <c r="M481"/>
  <c r="L485"/>
  <c r="L488"/>
  <c r="L492"/>
  <c r="K496"/>
  <c r="K499"/>
  <c r="K503"/>
  <c r="M75"/>
  <c r="J133"/>
  <c r="M187"/>
  <c r="M245"/>
  <c r="K297"/>
  <c r="K324"/>
  <c r="J354"/>
  <c r="K382"/>
  <c r="J410"/>
  <c r="K431"/>
  <c r="L445"/>
  <c r="K459"/>
  <c r="M473"/>
  <c r="K488"/>
  <c r="M501"/>
  <c r="M509"/>
  <c r="L517"/>
  <c r="L524"/>
  <c r="K531"/>
  <c r="M538"/>
  <c r="M545"/>
  <c r="L552"/>
  <c r="K560"/>
  <c r="K567"/>
  <c r="M573"/>
  <c r="L581"/>
  <c r="L588"/>
  <c r="K595"/>
  <c r="M602"/>
  <c r="M609"/>
  <c r="L616"/>
  <c r="K624"/>
  <c r="K631"/>
  <c r="M637"/>
  <c r="L645"/>
  <c r="L652"/>
  <c r="K659"/>
  <c r="M666"/>
  <c r="M673"/>
  <c r="L680"/>
  <c r="K688"/>
  <c r="K695"/>
  <c r="M701"/>
  <c r="L709"/>
  <c r="L716"/>
  <c r="K723"/>
  <c r="M730"/>
  <c r="M737"/>
  <c r="L744"/>
  <c r="K752"/>
  <c r="K759"/>
  <c r="M765"/>
  <c r="L773"/>
  <c r="L780"/>
  <c r="K787"/>
  <c r="M794"/>
  <c r="M801"/>
  <c r="L807"/>
  <c r="K813"/>
  <c r="L818"/>
  <c r="L823"/>
  <c r="K829"/>
  <c r="L834"/>
  <c r="L839"/>
  <c r="K845"/>
  <c r="L850"/>
  <c r="L855"/>
  <c r="K861"/>
  <c r="L866"/>
  <c r="L871"/>
  <c r="K877"/>
  <c r="L882"/>
  <c r="L887"/>
  <c r="K893"/>
  <c r="L898"/>
  <c r="L903"/>
  <c r="K909"/>
  <c r="L914"/>
  <c r="L919"/>
  <c r="K925"/>
  <c r="L930"/>
  <c r="M934"/>
  <c r="L938"/>
  <c r="K942"/>
  <c r="L945"/>
  <c r="K949"/>
  <c r="M952"/>
  <c r="K956"/>
  <c r="M959"/>
  <c r="L963"/>
  <c r="M966"/>
  <c r="L970"/>
  <c r="K974"/>
  <c r="L977"/>
  <c r="K981"/>
  <c r="M984"/>
  <c r="K988"/>
  <c r="M991"/>
  <c r="L995"/>
  <c r="M998"/>
  <c r="L1002"/>
  <c r="K1006"/>
  <c r="L1009"/>
  <c r="K1013"/>
  <c r="M1016"/>
  <c r="K1020"/>
  <c r="M1023"/>
  <c r="L1027"/>
  <c r="M1030"/>
  <c r="L1034"/>
  <c r="K1038"/>
  <c r="L1041"/>
  <c r="K1045"/>
  <c r="M1048"/>
  <c r="K1052"/>
  <c r="M1055"/>
  <c r="L1059"/>
  <c r="M1062"/>
  <c r="L1066"/>
  <c r="K1070"/>
  <c r="L1073"/>
  <c r="K1077"/>
  <c r="M1080"/>
  <c r="K1084"/>
  <c r="M1087"/>
  <c r="L1091"/>
  <c r="M1094"/>
  <c r="L1098"/>
  <c r="K1102"/>
  <c r="L1105"/>
  <c r="K1109"/>
  <c r="M1112"/>
  <c r="K1116"/>
  <c r="M1119"/>
  <c r="L1123"/>
  <c r="M1126"/>
  <c r="L1130"/>
  <c r="K1134"/>
  <c r="L1137"/>
  <c r="K1141"/>
  <c r="M1144"/>
  <c r="K1148"/>
  <c r="M1151"/>
  <c r="L1155"/>
  <c r="M1158"/>
  <c r="L1162"/>
  <c r="K1166"/>
  <c r="L1169"/>
  <c r="K1173"/>
  <c r="M1176"/>
  <c r="K1179"/>
  <c r="J1182"/>
  <c r="M1184"/>
  <c r="K1187"/>
  <c r="J1190"/>
  <c r="M1192"/>
  <c r="K1195"/>
  <c r="J1198"/>
  <c r="M1200"/>
  <c r="K1203"/>
  <c r="J1206"/>
  <c r="M1208"/>
  <c r="K1211"/>
  <c r="J1214"/>
  <c r="M1216"/>
  <c r="K1219"/>
  <c r="J1222"/>
  <c r="M1224"/>
  <c r="K1227"/>
  <c r="J1230"/>
  <c r="M1232"/>
  <c r="K1235"/>
  <c r="J1238"/>
  <c r="M1240"/>
  <c r="K1243"/>
  <c r="J1246"/>
  <c r="M1248"/>
  <c r="J1251"/>
  <c r="J1253"/>
  <c r="J1255"/>
  <c r="J1257"/>
  <c r="J1259"/>
  <c r="J1261"/>
  <c r="J1263"/>
  <c r="J1265"/>
  <c r="J1267"/>
  <c r="J1269"/>
  <c r="J1271"/>
  <c r="J1273"/>
  <c r="J1275"/>
  <c r="J1277"/>
  <c r="J1279"/>
  <c r="J1281"/>
  <c r="J1283"/>
  <c r="J1285"/>
  <c r="J1287"/>
  <c r="J1289"/>
  <c r="J1291"/>
  <c r="J1293"/>
  <c r="J1295"/>
  <c r="J1297"/>
  <c r="J1299"/>
  <c r="J1301"/>
  <c r="J1303"/>
  <c r="J1305"/>
  <c r="J1307"/>
  <c r="J1309"/>
  <c r="J1311"/>
  <c r="J1313"/>
  <c r="J1315"/>
  <c r="J1317"/>
  <c r="J1319"/>
  <c r="J1321"/>
  <c r="J1323"/>
  <c r="J1325"/>
  <c r="J1327"/>
  <c r="J1329"/>
  <c r="J1331"/>
  <c r="J1333"/>
  <c r="J1335"/>
  <c r="J1337"/>
  <c r="J1339"/>
  <c r="J1341"/>
  <c r="J1343"/>
  <c r="J1345"/>
  <c r="J1347"/>
  <c r="M59"/>
  <c r="M117"/>
  <c r="M175"/>
  <c r="M229"/>
  <c r="J289"/>
  <c r="K318"/>
  <c r="J346"/>
  <c r="K375"/>
  <c r="J404"/>
  <c r="K427"/>
  <c r="M441"/>
  <c r="K456"/>
  <c r="M469"/>
  <c r="L484"/>
  <c r="M498"/>
  <c r="L509"/>
  <c r="L516"/>
  <c r="K523"/>
  <c r="M530"/>
  <c r="M537"/>
  <c r="L544"/>
  <c r="K552"/>
  <c r="K559"/>
  <c r="M565"/>
  <c r="L573"/>
  <c r="L580"/>
  <c r="K587"/>
  <c r="M594"/>
  <c r="M601"/>
  <c r="L608"/>
  <c r="K616"/>
  <c r="K623"/>
  <c r="M629"/>
  <c r="L637"/>
  <c r="L644"/>
  <c r="K651"/>
  <c r="M658"/>
  <c r="M665"/>
  <c r="L672"/>
  <c r="K680"/>
  <c r="K687"/>
  <c r="M693"/>
  <c r="L701"/>
  <c r="L708"/>
  <c r="K715"/>
  <c r="M722"/>
  <c r="M729"/>
  <c r="L736"/>
  <c r="K744"/>
  <c r="K751"/>
  <c r="M757"/>
  <c r="L765"/>
  <c r="L772"/>
  <c r="K779"/>
  <c r="M786"/>
  <c r="M793"/>
  <c r="L800"/>
  <c r="K807"/>
  <c r="L812"/>
  <c r="L817"/>
  <c r="K823"/>
  <c r="L828"/>
  <c r="L833"/>
  <c r="K839"/>
  <c r="L844"/>
  <c r="L849"/>
  <c r="K855"/>
  <c r="L860"/>
  <c r="L865"/>
  <c r="K871"/>
  <c r="L876"/>
  <c r="L881"/>
  <c r="K887"/>
  <c r="L892"/>
  <c r="L897"/>
  <c r="K903"/>
  <c r="L908"/>
  <c r="L913"/>
  <c r="K919"/>
  <c r="L924"/>
  <c r="L929"/>
  <c r="L934"/>
  <c r="K938"/>
  <c r="L941"/>
  <c r="K945"/>
  <c r="M948"/>
  <c r="K952"/>
  <c r="M955"/>
  <c r="L959"/>
  <c r="M962"/>
  <c r="L966"/>
  <c r="K970"/>
  <c r="L973"/>
  <c r="K977"/>
  <c r="M980"/>
  <c r="K984"/>
  <c r="M987"/>
  <c r="L991"/>
  <c r="M994"/>
  <c r="L998"/>
  <c r="K1002"/>
  <c r="L1005"/>
  <c r="K1009"/>
  <c r="M1012"/>
  <c r="K1016"/>
  <c r="M1019"/>
  <c r="L1023"/>
  <c r="M1026"/>
  <c r="L1030"/>
  <c r="K1034"/>
  <c r="L1037"/>
  <c r="K1041"/>
  <c r="M1044"/>
  <c r="K1048"/>
  <c r="M1051"/>
  <c r="L1055"/>
  <c r="M1058"/>
  <c r="L1062"/>
  <c r="K1066"/>
  <c r="L1069"/>
  <c r="K1073"/>
  <c r="M1076"/>
  <c r="K1080"/>
  <c r="M1083"/>
  <c r="L1087"/>
  <c r="M1090"/>
  <c r="L1094"/>
  <c r="K1098"/>
  <c r="L1101"/>
  <c r="K1105"/>
  <c r="M1108"/>
  <c r="K1112"/>
  <c r="M1115"/>
  <c r="L1119"/>
  <c r="M1122"/>
  <c r="L1126"/>
  <c r="K1130"/>
  <c r="L1133"/>
  <c r="K1137"/>
  <c r="M1140"/>
  <c r="K1144"/>
  <c r="M1147"/>
  <c r="L1151"/>
  <c r="M1154"/>
  <c r="L1158"/>
  <c r="K1162"/>
  <c r="L1165"/>
  <c r="K1169"/>
  <c r="M1172"/>
  <c r="K1176"/>
  <c r="J1179"/>
  <c r="M1181"/>
  <c r="K1184"/>
  <c r="J1187"/>
  <c r="M1189"/>
  <c r="K1192"/>
  <c r="J1195"/>
  <c r="M1197"/>
  <c r="K1200"/>
  <c r="J1203"/>
  <c r="M1205"/>
  <c r="K1208"/>
  <c r="J1211"/>
  <c r="M1213"/>
  <c r="K1216"/>
  <c r="J1219"/>
  <c r="M1221"/>
  <c r="K1224"/>
  <c r="J1227"/>
  <c r="M1229"/>
  <c r="K1232"/>
  <c r="J1235"/>
  <c r="M1237"/>
  <c r="K1240"/>
  <c r="J1243"/>
  <c r="M1245"/>
  <c r="K1248"/>
  <c r="M1250"/>
  <c r="M1252"/>
  <c r="M1254"/>
  <c r="M1256"/>
  <c r="M1258"/>
  <c r="M1260"/>
  <c r="M1262"/>
  <c r="M1264"/>
  <c r="M1266"/>
  <c r="M1268"/>
  <c r="M1270"/>
  <c r="M1272"/>
  <c r="M1274"/>
  <c r="M1276"/>
  <c r="M1278"/>
  <c r="M1280"/>
  <c r="M1282"/>
  <c r="M1284"/>
  <c r="M1286"/>
  <c r="M1288"/>
  <c r="M1290"/>
  <c r="M1292"/>
  <c r="M1294"/>
  <c r="M1296"/>
  <c r="M1298"/>
  <c r="M1300"/>
  <c r="M1302"/>
  <c r="M1304"/>
  <c r="M1306"/>
  <c r="M1308"/>
  <c r="M1310"/>
  <c r="M1312"/>
  <c r="M1314"/>
  <c r="M1316"/>
  <c r="M1318"/>
  <c r="M1320"/>
  <c r="M1322"/>
  <c r="M1324"/>
  <c r="M1326"/>
  <c r="M1328"/>
  <c r="M1330"/>
  <c r="M1332"/>
  <c r="M1334"/>
  <c r="M1336"/>
  <c r="M1338"/>
  <c r="M1340"/>
  <c r="M1342"/>
  <c r="M1344"/>
  <c r="M1346"/>
  <c r="M47"/>
  <c r="M101"/>
  <c r="J161"/>
  <c r="M217"/>
  <c r="J273"/>
  <c r="K311"/>
  <c r="J340"/>
  <c r="K367"/>
  <c r="K396"/>
  <c r="K423"/>
  <c r="M437"/>
  <c r="L452"/>
  <c r="M466"/>
  <c r="L480"/>
  <c r="K495"/>
  <c r="M506"/>
  <c r="M513"/>
  <c r="L520"/>
  <c r="K528"/>
  <c r="K535"/>
  <c r="M541"/>
  <c r="L549"/>
  <c r="L556"/>
  <c r="K563"/>
  <c r="M570"/>
  <c r="M577"/>
  <c r="L584"/>
  <c r="K592"/>
  <c r="K599"/>
  <c r="M605"/>
  <c r="L613"/>
  <c r="L620"/>
  <c r="K627"/>
  <c r="M634"/>
  <c r="M641"/>
  <c r="L648"/>
  <c r="K656"/>
  <c r="K663"/>
  <c r="M669"/>
  <c r="L677"/>
  <c r="L684"/>
  <c r="K691"/>
  <c r="M698"/>
  <c r="M705"/>
  <c r="L712"/>
  <c r="K720"/>
  <c r="K727"/>
  <c r="M733"/>
  <c r="L741"/>
  <c r="L748"/>
  <c r="K755"/>
  <c r="M762"/>
  <c r="M769"/>
  <c r="L776"/>
  <c r="K784"/>
  <c r="K791"/>
  <c r="M797"/>
  <c r="K805"/>
  <c r="L810"/>
  <c r="L815"/>
  <c r="K821"/>
  <c r="L826"/>
  <c r="L831"/>
  <c r="K837"/>
  <c r="L842"/>
  <c r="L847"/>
  <c r="K853"/>
  <c r="L858"/>
  <c r="L863"/>
  <c r="K869"/>
  <c r="L874"/>
  <c r="L879"/>
  <c r="K885"/>
  <c r="L890"/>
  <c r="L895"/>
  <c r="K901"/>
  <c r="L906"/>
  <c r="L911"/>
  <c r="K917"/>
  <c r="L922"/>
  <c r="L927"/>
  <c r="K933"/>
  <c r="M936"/>
  <c r="K940"/>
  <c r="M943"/>
  <c r="L947"/>
  <c r="M950"/>
  <c r="L954"/>
  <c r="K958"/>
  <c r="L961"/>
  <c r="K965"/>
  <c r="M968"/>
  <c r="K972"/>
  <c r="M975"/>
  <c r="L979"/>
  <c r="M982"/>
  <c r="L986"/>
  <c r="K990"/>
  <c r="L993"/>
  <c r="K997"/>
  <c r="M1000"/>
  <c r="K1004"/>
  <c r="M1007"/>
  <c r="L1011"/>
  <c r="M1014"/>
  <c r="L1018"/>
  <c r="K1022"/>
  <c r="L1025"/>
  <c r="K1029"/>
  <c r="M1032"/>
  <c r="K1036"/>
  <c r="M1039"/>
  <c r="L1043"/>
  <c r="M1046"/>
  <c r="L1050"/>
  <c r="K1054"/>
  <c r="L1057"/>
  <c r="K1061"/>
  <c r="M1064"/>
  <c r="K1068"/>
  <c r="M1071"/>
  <c r="L1075"/>
  <c r="M1078"/>
  <c r="L1082"/>
  <c r="K1086"/>
  <c r="L1089"/>
  <c r="K1093"/>
  <c r="M1096"/>
  <c r="K1100"/>
  <c r="M1103"/>
  <c r="L1107"/>
  <c r="M1110"/>
  <c r="L1114"/>
  <c r="K1118"/>
  <c r="L1121"/>
  <c r="K1125"/>
  <c r="M1128"/>
  <c r="K1132"/>
  <c r="M1135"/>
  <c r="L1139"/>
  <c r="M1142"/>
  <c r="L1146"/>
  <c r="K1150"/>
  <c r="L1153"/>
  <c r="K1157"/>
  <c r="M1160"/>
  <c r="K1164"/>
  <c r="M1167"/>
  <c r="L1171"/>
  <c r="M1174"/>
  <c r="J1178"/>
  <c r="M1180"/>
  <c r="K1183"/>
  <c r="J1186"/>
  <c r="M1188"/>
  <c r="K1191"/>
  <c r="J1194"/>
  <c r="M1196"/>
  <c r="K1199"/>
  <c r="J1202"/>
  <c r="M1204"/>
  <c r="K1207"/>
  <c r="J1210"/>
  <c r="M1212"/>
  <c r="K1215"/>
  <c r="J1218"/>
  <c r="M1220"/>
  <c r="K1223"/>
  <c r="J1226"/>
  <c r="M1228"/>
  <c r="K1231"/>
  <c r="J1234"/>
  <c r="M1236"/>
  <c r="K1239"/>
  <c r="J1242"/>
  <c r="M1244"/>
  <c r="K1247"/>
  <c r="J1250"/>
  <c r="J1252"/>
  <c r="J1254"/>
  <c r="J1256"/>
  <c r="J1258"/>
  <c r="J1260"/>
  <c r="J1262"/>
  <c r="J1264"/>
  <c r="J1266"/>
  <c r="J1268"/>
  <c r="J1270"/>
  <c r="J1272"/>
  <c r="J1274"/>
  <c r="J1276"/>
  <c r="J1278"/>
  <c r="J1280"/>
  <c r="J1282"/>
  <c r="J1284"/>
  <c r="J1286"/>
  <c r="J1288"/>
  <c r="J1290"/>
  <c r="J1292"/>
  <c r="J1294"/>
  <c r="J1296"/>
  <c r="J1298"/>
  <c r="J1300"/>
  <c r="J1302"/>
  <c r="J1304"/>
  <c r="J1306"/>
  <c r="J1308"/>
  <c r="J1310"/>
  <c r="J1312"/>
  <c r="J1314"/>
  <c r="J1316"/>
  <c r="J1318"/>
  <c r="J1320"/>
  <c r="J1322"/>
  <c r="J1324"/>
  <c r="J1326"/>
  <c r="J1328"/>
  <c r="J1330"/>
  <c r="J1332"/>
  <c r="J1334"/>
  <c r="J1336"/>
  <c r="J1338"/>
  <c r="J1340"/>
  <c r="J1342"/>
  <c r="J1344"/>
  <c r="J1346"/>
  <c r="M89"/>
  <c r="J145"/>
  <c r="M203"/>
  <c r="J261"/>
  <c r="K303"/>
  <c r="K332"/>
  <c r="K361"/>
  <c r="K388"/>
  <c r="J418"/>
  <c r="M434"/>
  <c r="L448"/>
  <c r="K463"/>
  <c r="L477"/>
  <c r="K491"/>
  <c r="M505"/>
  <c r="L512"/>
  <c r="K520"/>
  <c r="K527"/>
  <c r="M533"/>
  <c r="L541"/>
  <c r="L548"/>
  <c r="K555"/>
  <c r="M562"/>
  <c r="M569"/>
  <c r="L576"/>
  <c r="K584"/>
  <c r="K591"/>
  <c r="M597"/>
  <c r="L605"/>
  <c r="L612"/>
  <c r="K619"/>
  <c r="M626"/>
  <c r="M633"/>
  <c r="L640"/>
  <c r="K648"/>
  <c r="K655"/>
  <c r="M661"/>
  <c r="L669"/>
  <c r="L676"/>
  <c r="K683"/>
  <c r="M690"/>
  <c r="M697"/>
  <c r="L704"/>
  <c r="K712"/>
  <c r="K719"/>
  <c r="M725"/>
  <c r="L733"/>
  <c r="L740"/>
  <c r="K747"/>
  <c r="M754"/>
  <c r="M761"/>
  <c r="L768"/>
  <c r="K776"/>
  <c r="K783"/>
  <c r="M789"/>
  <c r="L797"/>
  <c r="L804"/>
  <c r="L809"/>
  <c r="K815"/>
  <c r="L820"/>
  <c r="L825"/>
  <c r="K831"/>
  <c r="L836"/>
  <c r="L841"/>
  <c r="K847"/>
  <c r="L852"/>
  <c r="L857"/>
  <c r="K863"/>
  <c r="L868"/>
  <c r="L873"/>
  <c r="K879"/>
  <c r="L884"/>
  <c r="L889"/>
  <c r="K895"/>
  <c r="L900"/>
  <c r="L905"/>
  <c r="K911"/>
  <c r="L916"/>
  <c r="L921"/>
  <c r="K927"/>
  <c r="L932"/>
  <c r="K936"/>
  <c r="M939"/>
  <c r="L943"/>
  <c r="M946"/>
  <c r="L950"/>
  <c r="K954"/>
  <c r="L957"/>
  <c r="K961"/>
  <c r="M964"/>
  <c r="K968"/>
  <c r="M971"/>
  <c r="L975"/>
  <c r="M978"/>
  <c r="L982"/>
  <c r="K986"/>
  <c r="L989"/>
  <c r="K993"/>
  <c r="M996"/>
  <c r="K1000"/>
  <c r="M1003"/>
  <c r="L1007"/>
  <c r="M1010"/>
  <c r="L1014"/>
  <c r="K1018"/>
  <c r="L1021"/>
  <c r="K1025"/>
  <c r="M1028"/>
  <c r="K1032"/>
  <c r="M1035"/>
  <c r="L1039"/>
  <c r="M1042"/>
  <c r="L1046"/>
  <c r="K1050"/>
  <c r="L1053"/>
  <c r="K1057"/>
  <c r="M1060"/>
  <c r="K1064"/>
  <c r="M1067"/>
  <c r="L1071"/>
  <c r="M1074"/>
  <c r="L1078"/>
  <c r="K1082"/>
  <c r="L1085"/>
  <c r="K1089"/>
  <c r="M1092"/>
  <c r="K1096"/>
  <c r="M1099"/>
  <c r="L1103"/>
  <c r="M1106"/>
  <c r="L1110"/>
  <c r="K1114"/>
  <c r="L1117"/>
  <c r="K1121"/>
  <c r="M1124"/>
  <c r="K1128"/>
  <c r="M1131"/>
  <c r="L1135"/>
  <c r="M1138"/>
  <c r="L1142"/>
  <c r="K1146"/>
  <c r="L1149"/>
  <c r="K1153"/>
  <c r="M1156"/>
  <c r="K1160"/>
  <c r="M1163"/>
  <c r="L1167"/>
  <c r="M1170"/>
  <c r="L1174"/>
  <c r="M1177"/>
  <c r="K1180"/>
  <c r="J1183"/>
  <c r="M1185"/>
  <c r="K1188"/>
  <c r="J1191"/>
  <c r="M1193"/>
  <c r="K1196"/>
  <c r="J1199"/>
  <c r="M1201"/>
  <c r="K1204"/>
  <c r="J1207"/>
  <c r="M1209"/>
  <c r="K1212"/>
  <c r="J1215"/>
  <c r="M1217"/>
  <c r="K1220"/>
  <c r="J1223"/>
  <c r="M1225"/>
  <c r="K1228"/>
  <c r="J1231"/>
  <c r="M1233"/>
  <c r="K1236"/>
  <c r="J1239"/>
  <c r="M1241"/>
  <c r="K1244"/>
  <c r="J1247"/>
  <c r="M1249"/>
  <c r="M1251"/>
  <c r="M1253"/>
  <c r="M1255"/>
  <c r="M1257"/>
  <c r="M1259"/>
  <c r="M1261"/>
  <c r="M1263"/>
  <c r="M1265"/>
  <c r="M1267"/>
  <c r="M1269"/>
  <c r="M1271"/>
  <c r="M1273"/>
  <c r="M1275"/>
  <c r="M1277"/>
  <c r="M1279"/>
  <c r="M1281"/>
  <c r="M1283"/>
  <c r="M1285"/>
  <c r="M1287"/>
  <c r="M1289"/>
  <c r="M1291"/>
  <c r="M1293"/>
  <c r="M1295"/>
  <c r="M1297"/>
  <c r="M1299"/>
  <c r="M1301"/>
  <c r="M1303"/>
  <c r="M1305"/>
  <c r="M1307"/>
  <c r="M1309"/>
  <c r="M1311"/>
  <c r="M1313"/>
  <c r="M1315"/>
  <c r="M1317"/>
  <c r="M1319"/>
  <c r="M1321"/>
  <c r="M1323"/>
  <c r="M1325"/>
  <c r="M1327"/>
  <c r="M1329"/>
  <c r="M1331"/>
  <c r="M1333"/>
  <c r="M1335"/>
  <c r="M1337"/>
  <c r="M1339"/>
  <c r="M1341"/>
  <c r="M1343"/>
  <c r="M1345"/>
  <c r="M1347"/>
  <c r="J11"/>
  <c r="J12"/>
  <c r="I12"/>
  <c r="I11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H37"/>
  <c r="H41"/>
  <c r="H45"/>
  <c r="H49"/>
  <c r="H53"/>
  <c r="H57"/>
  <c r="H61"/>
  <c r="H65"/>
  <c r="H69"/>
  <c r="H73"/>
  <c r="H77"/>
  <c r="H81"/>
  <c r="H85"/>
  <c r="H89"/>
  <c r="H93"/>
  <c r="H97"/>
  <c r="H101"/>
  <c r="H105"/>
  <c r="H109"/>
  <c r="H113"/>
  <c r="H117"/>
  <c r="H121"/>
  <c r="H125"/>
  <c r="H129"/>
  <c r="H133"/>
  <c r="H137"/>
  <c r="H141"/>
  <c r="H145"/>
  <c r="H149"/>
  <c r="H153"/>
  <c r="H157"/>
  <c r="H161"/>
  <c r="H165"/>
  <c r="H169"/>
  <c r="H173"/>
  <c r="H177"/>
  <c r="H181"/>
  <c r="H185"/>
  <c r="H189"/>
  <c r="H193"/>
  <c r="H197"/>
  <c r="H201"/>
  <c r="H205"/>
  <c r="H209"/>
  <c r="H213"/>
  <c r="H217"/>
  <c r="H221"/>
  <c r="H225"/>
  <c r="H229"/>
  <c r="H233"/>
  <c r="H237"/>
  <c r="H241"/>
  <c r="H245"/>
  <c r="H249"/>
  <c r="H253"/>
  <c r="H257"/>
  <c r="H261"/>
  <c r="F264"/>
  <c r="G265"/>
  <c r="H266"/>
  <c r="F268"/>
  <c r="G269"/>
  <c r="H270"/>
  <c r="F272"/>
  <c r="G273"/>
  <c r="H274"/>
  <c r="F276"/>
  <c r="G277"/>
  <c r="H278"/>
  <c r="F280"/>
  <c r="G281"/>
  <c r="H282"/>
  <c r="F284"/>
  <c r="G285"/>
  <c r="H286"/>
  <c r="F288"/>
  <c r="G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36"/>
  <c r="H40"/>
  <c r="H44"/>
  <c r="H48"/>
  <c r="H52"/>
  <c r="H56"/>
  <c r="H60"/>
  <c r="H64"/>
  <c r="H68"/>
  <c r="H72"/>
  <c r="H76"/>
  <c r="H80"/>
  <c r="H84"/>
  <c r="H88"/>
  <c r="H92"/>
  <c r="H96"/>
  <c r="H100"/>
  <c r="H104"/>
  <c r="H108"/>
  <c r="H112"/>
  <c r="H116"/>
  <c r="H120"/>
  <c r="H124"/>
  <c r="H128"/>
  <c r="H132"/>
  <c r="H136"/>
  <c r="H140"/>
  <c r="H144"/>
  <c r="H148"/>
  <c r="H152"/>
  <c r="H156"/>
  <c r="H160"/>
  <c r="H164"/>
  <c r="H168"/>
  <c r="H172"/>
  <c r="H176"/>
  <c r="H180"/>
  <c r="H184"/>
  <c r="H188"/>
  <c r="H192"/>
  <c r="H196"/>
  <c r="H200"/>
  <c r="H204"/>
  <c r="H208"/>
  <c r="H212"/>
  <c r="H216"/>
  <c r="H220"/>
  <c r="H224"/>
  <c r="H228"/>
  <c r="H232"/>
  <c r="H236"/>
  <c r="H240"/>
  <c r="H244"/>
  <c r="H248"/>
  <c r="H252"/>
  <c r="H256"/>
  <c r="H260"/>
  <c r="H263"/>
  <c r="F265"/>
  <c r="G266"/>
  <c r="H267"/>
  <c r="F269"/>
  <c r="G270"/>
  <c r="H271"/>
  <c r="F273"/>
  <c r="G274"/>
  <c r="H275"/>
  <c r="F277"/>
  <c r="G278"/>
  <c r="H279"/>
  <c r="F281"/>
  <c r="G282"/>
  <c r="H283"/>
  <c r="F285"/>
  <c r="G286"/>
  <c r="H287"/>
  <c r="F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H35"/>
  <c r="H39"/>
  <c r="H43"/>
  <c r="H47"/>
  <c r="H51"/>
  <c r="H55"/>
  <c r="H59"/>
  <c r="H63"/>
  <c r="H67"/>
  <c r="H71"/>
  <c r="H75"/>
  <c r="H79"/>
  <c r="H83"/>
  <c r="H87"/>
  <c r="H91"/>
  <c r="H95"/>
  <c r="H99"/>
  <c r="H103"/>
  <c r="H107"/>
  <c r="H111"/>
  <c r="H115"/>
  <c r="H119"/>
  <c r="H123"/>
  <c r="H127"/>
  <c r="H131"/>
  <c r="H135"/>
  <c r="H139"/>
  <c r="H143"/>
  <c r="H147"/>
  <c r="H151"/>
  <c r="H155"/>
  <c r="H159"/>
  <c r="H163"/>
  <c r="H167"/>
  <c r="H171"/>
  <c r="H175"/>
  <c r="H179"/>
  <c r="H183"/>
  <c r="H187"/>
  <c r="H191"/>
  <c r="H195"/>
  <c r="H199"/>
  <c r="H203"/>
  <c r="H207"/>
  <c r="H211"/>
  <c r="H215"/>
  <c r="H219"/>
  <c r="H223"/>
  <c r="H227"/>
  <c r="H231"/>
  <c r="H235"/>
  <c r="H239"/>
  <c r="H243"/>
  <c r="H247"/>
  <c r="H251"/>
  <c r="H255"/>
  <c r="H259"/>
  <c r="G263"/>
  <c r="H264"/>
  <c r="F266"/>
  <c r="G267"/>
  <c r="H268"/>
  <c r="F270"/>
  <c r="G271"/>
  <c r="H272"/>
  <c r="F274"/>
  <c r="G275"/>
  <c r="H276"/>
  <c r="F278"/>
  <c r="G279"/>
  <c r="H280"/>
  <c r="F282"/>
  <c r="G283"/>
  <c r="H284"/>
  <c r="F286"/>
  <c r="G287"/>
  <c r="H288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H38"/>
  <c r="H42"/>
  <c r="H46"/>
  <c r="H50"/>
  <c r="H54"/>
  <c r="H58"/>
  <c r="H62"/>
  <c r="H66"/>
  <c r="H70"/>
  <c r="H74"/>
  <c r="H78"/>
  <c r="H82"/>
  <c r="H86"/>
  <c r="H90"/>
  <c r="H94"/>
  <c r="H98"/>
  <c r="H102"/>
  <c r="H106"/>
  <c r="H110"/>
  <c r="H114"/>
  <c r="H118"/>
  <c r="H122"/>
  <c r="H126"/>
  <c r="H130"/>
  <c r="H134"/>
  <c r="H138"/>
  <c r="H142"/>
  <c r="H146"/>
  <c r="H150"/>
  <c r="H154"/>
  <c r="H158"/>
  <c r="H162"/>
  <c r="H166"/>
  <c r="H170"/>
  <c r="H174"/>
  <c r="H178"/>
  <c r="H182"/>
  <c r="H186"/>
  <c r="H190"/>
  <c r="H194"/>
  <c r="H198"/>
  <c r="H202"/>
  <c r="H206"/>
  <c r="H210"/>
  <c r="H214"/>
  <c r="H218"/>
  <c r="H222"/>
  <c r="H226"/>
  <c r="H230"/>
  <c r="H234"/>
  <c r="H238"/>
  <c r="H242"/>
  <c r="H246"/>
  <c r="H250"/>
  <c r="H254"/>
  <c r="H258"/>
  <c r="H262"/>
  <c r="G264"/>
  <c r="H265"/>
  <c r="F267"/>
  <c r="G268"/>
  <c r="H269"/>
  <c r="F271"/>
  <c r="G272"/>
  <c r="H273"/>
  <c r="F275"/>
  <c r="G276"/>
  <c r="H277"/>
  <c r="F279"/>
  <c r="G280"/>
  <c r="H281"/>
  <c r="F283"/>
  <c r="G284"/>
  <c r="H285"/>
  <c r="F287"/>
  <c r="G288"/>
  <c r="H289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F363"/>
  <c r="F367"/>
  <c r="F371"/>
  <c r="F375"/>
  <c r="F379"/>
  <c r="F383"/>
  <c r="E386"/>
  <c r="E388"/>
  <c r="E390"/>
  <c r="E392"/>
  <c r="E394"/>
  <c r="E396"/>
  <c r="E398"/>
  <c r="E400"/>
  <c r="E402"/>
  <c r="E404"/>
  <c r="E406"/>
  <c r="E408"/>
  <c r="E410"/>
  <c r="E412"/>
  <c r="E414"/>
  <c r="E416"/>
  <c r="E418"/>
  <c r="E420"/>
  <c r="E422"/>
  <c r="E424"/>
  <c r="E426"/>
  <c r="E428"/>
  <c r="E430"/>
  <c r="E432"/>
  <c r="E434"/>
  <c r="E436"/>
  <c r="E438"/>
  <c r="E440"/>
  <c r="E442"/>
  <c r="E444"/>
  <c r="E446"/>
  <c r="E448"/>
  <c r="E450"/>
  <c r="E452"/>
  <c r="E454"/>
  <c r="E456"/>
  <c r="E458"/>
  <c r="E460"/>
  <c r="E462"/>
  <c r="E464"/>
  <c r="E466"/>
  <c r="E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F362"/>
  <c r="F366"/>
  <c r="F370"/>
  <c r="F374"/>
  <c r="F378"/>
  <c r="F382"/>
  <c r="F385"/>
  <c r="F387"/>
  <c r="F389"/>
  <c r="F391"/>
  <c r="F393"/>
  <c r="F395"/>
  <c r="F397"/>
  <c r="F399"/>
  <c r="F401"/>
  <c r="F403"/>
  <c r="F405"/>
  <c r="F407"/>
  <c r="F409"/>
  <c r="F411"/>
  <c r="F413"/>
  <c r="F415"/>
  <c r="F417"/>
  <c r="F419"/>
  <c r="F421"/>
  <c r="F423"/>
  <c r="F425"/>
  <c r="F427"/>
  <c r="F429"/>
  <c r="F431"/>
  <c r="F433"/>
  <c r="F435"/>
  <c r="F437"/>
  <c r="F439"/>
  <c r="F441"/>
  <c r="F443"/>
  <c r="F445"/>
  <c r="F447"/>
  <c r="F449"/>
  <c r="F451"/>
  <c r="F453"/>
  <c r="F455"/>
  <c r="F457"/>
  <c r="F459"/>
  <c r="F461"/>
  <c r="F463"/>
  <c r="F465"/>
  <c r="F467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360"/>
  <c r="F364"/>
  <c r="F368"/>
  <c r="F372"/>
  <c r="F376"/>
  <c r="F380"/>
  <c r="F384"/>
  <c r="F386"/>
  <c r="F388"/>
  <c r="F390"/>
  <c r="F392"/>
  <c r="F394"/>
  <c r="F396"/>
  <c r="F398"/>
  <c r="F400"/>
  <c r="F402"/>
  <c r="F404"/>
  <c r="F406"/>
  <c r="F408"/>
  <c r="F410"/>
  <c r="F412"/>
  <c r="F414"/>
  <c r="F416"/>
  <c r="F418"/>
  <c r="F420"/>
  <c r="F422"/>
  <c r="F424"/>
  <c r="F426"/>
  <c r="F428"/>
  <c r="F430"/>
  <c r="F432"/>
  <c r="F434"/>
  <c r="F436"/>
  <c r="F438"/>
  <c r="F440"/>
  <c r="F442"/>
  <c r="F444"/>
  <c r="F446"/>
  <c r="F448"/>
  <c r="F450"/>
  <c r="F452"/>
  <c r="F454"/>
  <c r="F456"/>
  <c r="F458"/>
  <c r="F460"/>
  <c r="F462"/>
  <c r="F464"/>
  <c r="F466"/>
  <c r="F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F373"/>
  <c r="E387"/>
  <c r="E395"/>
  <c r="E403"/>
  <c r="E411"/>
  <c r="E419"/>
  <c r="E427"/>
  <c r="E435"/>
  <c r="E443"/>
  <c r="E451"/>
  <c r="E459"/>
  <c r="E467"/>
  <c r="E472"/>
  <c r="E476"/>
  <c r="E480"/>
  <c r="E484"/>
  <c r="E488"/>
  <c r="E492"/>
  <c r="E496"/>
  <c r="E500"/>
  <c r="E504"/>
  <c r="E508"/>
  <c r="E512"/>
  <c r="E516"/>
  <c r="E520"/>
  <c r="E524"/>
  <c r="E528"/>
  <c r="E532"/>
  <c r="E536"/>
  <c r="E540"/>
  <c r="E544"/>
  <c r="E548"/>
  <c r="E552"/>
  <c r="E556"/>
  <c r="E560"/>
  <c r="E564"/>
  <c r="E568"/>
  <c r="E572"/>
  <c r="E576"/>
  <c r="E580"/>
  <c r="E584"/>
  <c r="E588"/>
  <c r="E592"/>
  <c r="E596"/>
  <c r="E600"/>
  <c r="E604"/>
  <c r="E608"/>
  <c r="E612"/>
  <c r="E616"/>
  <c r="E620"/>
  <c r="E624"/>
  <c r="E628"/>
  <c r="E632"/>
  <c r="E636"/>
  <c r="E640"/>
  <c r="E644"/>
  <c r="E648"/>
  <c r="E652"/>
  <c r="E656"/>
  <c r="E660"/>
  <c r="E664"/>
  <c r="E668"/>
  <c r="E672"/>
  <c r="E676"/>
  <c r="E678"/>
  <c r="F679"/>
  <c r="H680"/>
  <c r="E682"/>
  <c r="F683"/>
  <c r="H684"/>
  <c r="E686"/>
  <c r="F687"/>
  <c r="H688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F369"/>
  <c r="E385"/>
  <c r="E393"/>
  <c r="E401"/>
  <c r="E409"/>
  <c r="E417"/>
  <c r="E425"/>
  <c r="E433"/>
  <c r="E441"/>
  <c r="E449"/>
  <c r="E457"/>
  <c r="E465"/>
  <c r="E471"/>
  <c r="E475"/>
  <c r="E479"/>
  <c r="E483"/>
  <c r="E487"/>
  <c r="E491"/>
  <c r="E495"/>
  <c r="E499"/>
  <c r="E503"/>
  <c r="E507"/>
  <c r="E511"/>
  <c r="E515"/>
  <c r="E519"/>
  <c r="E523"/>
  <c r="E527"/>
  <c r="E531"/>
  <c r="E535"/>
  <c r="E539"/>
  <c r="E543"/>
  <c r="E547"/>
  <c r="E551"/>
  <c r="E555"/>
  <c r="E559"/>
  <c r="E563"/>
  <c r="E567"/>
  <c r="E571"/>
  <c r="E575"/>
  <c r="E579"/>
  <c r="E583"/>
  <c r="E587"/>
  <c r="E591"/>
  <c r="E595"/>
  <c r="E599"/>
  <c r="E603"/>
  <c r="E607"/>
  <c r="E611"/>
  <c r="E615"/>
  <c r="E619"/>
  <c r="E623"/>
  <c r="E627"/>
  <c r="E631"/>
  <c r="E635"/>
  <c r="E639"/>
  <c r="E643"/>
  <c r="E647"/>
  <c r="E651"/>
  <c r="E655"/>
  <c r="E659"/>
  <c r="E663"/>
  <c r="E667"/>
  <c r="E671"/>
  <c r="E675"/>
  <c r="H677"/>
  <c r="E679"/>
  <c r="F680"/>
  <c r="H681"/>
  <c r="E683"/>
  <c r="F684"/>
  <c r="H685"/>
  <c r="E687"/>
  <c r="F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F361"/>
  <c r="F377"/>
  <c r="E389"/>
  <c r="E397"/>
  <c r="E405"/>
  <c r="E413"/>
  <c r="E421"/>
  <c r="E429"/>
  <c r="E437"/>
  <c r="E445"/>
  <c r="E453"/>
  <c r="E461"/>
  <c r="E469"/>
  <c r="E473"/>
  <c r="E477"/>
  <c r="E481"/>
  <c r="E485"/>
  <c r="E489"/>
  <c r="E493"/>
  <c r="E497"/>
  <c r="E501"/>
  <c r="E505"/>
  <c r="E509"/>
  <c r="E513"/>
  <c r="E517"/>
  <c r="E521"/>
  <c r="E525"/>
  <c r="E529"/>
  <c r="E533"/>
  <c r="E537"/>
  <c r="E541"/>
  <c r="E545"/>
  <c r="E549"/>
  <c r="E553"/>
  <c r="E557"/>
  <c r="E561"/>
  <c r="E565"/>
  <c r="E569"/>
  <c r="E573"/>
  <c r="E577"/>
  <c r="E581"/>
  <c r="E585"/>
  <c r="E589"/>
  <c r="E593"/>
  <c r="E597"/>
  <c r="E601"/>
  <c r="E605"/>
  <c r="E609"/>
  <c r="E613"/>
  <c r="E617"/>
  <c r="E621"/>
  <c r="E625"/>
  <c r="E629"/>
  <c r="E633"/>
  <c r="E637"/>
  <c r="E641"/>
  <c r="E645"/>
  <c r="E649"/>
  <c r="E653"/>
  <c r="E657"/>
  <c r="E661"/>
  <c r="E665"/>
  <c r="E669"/>
  <c r="E673"/>
  <c r="H676"/>
  <c r="F678"/>
  <c r="H679"/>
  <c r="E681"/>
  <c r="F682"/>
  <c r="H683"/>
  <c r="E685"/>
  <c r="F686"/>
  <c r="H687"/>
  <c r="E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E399"/>
  <c r="E431"/>
  <c r="E463"/>
  <c r="E482"/>
  <c r="E498"/>
  <c r="E514"/>
  <c r="E530"/>
  <c r="E546"/>
  <c r="E562"/>
  <c r="E578"/>
  <c r="E594"/>
  <c r="E610"/>
  <c r="E626"/>
  <c r="E642"/>
  <c r="E658"/>
  <c r="E674"/>
  <c r="F681"/>
  <c r="H686"/>
  <c r="G691"/>
  <c r="G695"/>
  <c r="G699"/>
  <c r="G703"/>
  <c r="G707"/>
  <c r="G711"/>
  <c r="G715"/>
  <c r="G719"/>
  <c r="G723"/>
  <c r="G727"/>
  <c r="G731"/>
  <c r="G735"/>
  <c r="G739"/>
  <c r="G743"/>
  <c r="G747"/>
  <c r="G751"/>
  <c r="G755"/>
  <c r="G759"/>
  <c r="G763"/>
  <c r="G767"/>
  <c r="G771"/>
  <c r="G775"/>
  <c r="G779"/>
  <c r="G783"/>
  <c r="G787"/>
  <c r="G791"/>
  <c r="G795"/>
  <c r="G799"/>
  <c r="G803"/>
  <c r="G807"/>
  <c r="G811"/>
  <c r="G815"/>
  <c r="G819"/>
  <c r="G823"/>
  <c r="G827"/>
  <c r="G831"/>
  <c r="G835"/>
  <c r="G839"/>
  <c r="G843"/>
  <c r="G847"/>
  <c r="G851"/>
  <c r="G855"/>
  <c r="G859"/>
  <c r="G863"/>
  <c r="G867"/>
  <c r="G871"/>
  <c r="G875"/>
  <c r="G879"/>
  <c r="G883"/>
  <c r="G887"/>
  <c r="G891"/>
  <c r="G895"/>
  <c r="G899"/>
  <c r="G903"/>
  <c r="G907"/>
  <c r="G911"/>
  <c r="G915"/>
  <c r="G919"/>
  <c r="G923"/>
  <c r="G927"/>
  <c r="G931"/>
  <c r="G935"/>
  <c r="G939"/>
  <c r="G943"/>
  <c r="G947"/>
  <c r="G951"/>
  <c r="G955"/>
  <c r="G959"/>
  <c r="G963"/>
  <c r="G967"/>
  <c r="G971"/>
  <c r="G975"/>
  <c r="G979"/>
  <c r="G983"/>
  <c r="G987"/>
  <c r="G991"/>
  <c r="G995"/>
  <c r="G999"/>
  <c r="G1003"/>
  <c r="G1007"/>
  <c r="G1011"/>
  <c r="G1015"/>
  <c r="G1019"/>
  <c r="G1023"/>
  <c r="G1027"/>
  <c r="G1031"/>
  <c r="G1035"/>
  <c r="G1039"/>
  <c r="G1043"/>
  <c r="G1047"/>
  <c r="G1051"/>
  <c r="G1055"/>
  <c r="G1059"/>
  <c r="G1063"/>
  <c r="G1067"/>
  <c r="G1071"/>
  <c r="G1075"/>
  <c r="G1079"/>
  <c r="G1083"/>
  <c r="G1087"/>
  <c r="G1091"/>
  <c r="G1095"/>
  <c r="G1099"/>
  <c r="G1103"/>
  <c r="G1107"/>
  <c r="G1111"/>
  <c r="G1115"/>
  <c r="G1119"/>
  <c r="G1123"/>
  <c r="H1126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H1295"/>
  <c r="H1301"/>
  <c r="H1303"/>
  <c r="H1305"/>
  <c r="H1307"/>
  <c r="H1309"/>
  <c r="H1311"/>
  <c r="H1313"/>
  <c r="H1314"/>
  <c r="H1316"/>
  <c r="H1317"/>
  <c r="H1319"/>
  <c r="H1321"/>
  <c r="H1323"/>
  <c r="H1325"/>
  <c r="H1327"/>
  <c r="H1329"/>
  <c r="H1331"/>
  <c r="H1333"/>
  <c r="H1335"/>
  <c r="H1336"/>
  <c r="H1338"/>
  <c r="H1339"/>
  <c r="H1341"/>
  <c r="H1343"/>
  <c r="H1345"/>
  <c r="H1347"/>
  <c r="G1344"/>
  <c r="G1347"/>
  <c r="F1256"/>
  <c r="F1271"/>
  <c r="F1278"/>
  <c r="F1282"/>
  <c r="F1286"/>
  <c r="F1290"/>
  <c r="F1294"/>
  <c r="F1298"/>
  <c r="F1302"/>
  <c r="F1306"/>
  <c r="F1310"/>
  <c r="F1314"/>
  <c r="F1318"/>
  <c r="F1322"/>
  <c r="F1326"/>
  <c r="F1330"/>
  <c r="F1334"/>
  <c r="F1338"/>
  <c r="F1342"/>
  <c r="F1346"/>
  <c r="E391"/>
  <c r="E423"/>
  <c r="E455"/>
  <c r="E478"/>
  <c r="E494"/>
  <c r="E510"/>
  <c r="E526"/>
  <c r="E542"/>
  <c r="E558"/>
  <c r="E574"/>
  <c r="E590"/>
  <c r="E606"/>
  <c r="E622"/>
  <c r="E638"/>
  <c r="E654"/>
  <c r="E670"/>
  <c r="E680"/>
  <c r="F685"/>
  <c r="G690"/>
  <c r="G694"/>
  <c r="G698"/>
  <c r="G702"/>
  <c r="G706"/>
  <c r="G710"/>
  <c r="G714"/>
  <c r="G718"/>
  <c r="G722"/>
  <c r="G726"/>
  <c r="G730"/>
  <c r="G734"/>
  <c r="G738"/>
  <c r="G742"/>
  <c r="G746"/>
  <c r="G750"/>
  <c r="G754"/>
  <c r="G758"/>
  <c r="G762"/>
  <c r="G766"/>
  <c r="G770"/>
  <c r="G774"/>
  <c r="G778"/>
  <c r="G782"/>
  <c r="G786"/>
  <c r="G790"/>
  <c r="G794"/>
  <c r="G798"/>
  <c r="G802"/>
  <c r="G806"/>
  <c r="G810"/>
  <c r="G814"/>
  <c r="G818"/>
  <c r="G822"/>
  <c r="G826"/>
  <c r="G830"/>
  <c r="G834"/>
  <c r="G838"/>
  <c r="G842"/>
  <c r="G846"/>
  <c r="G850"/>
  <c r="G854"/>
  <c r="G858"/>
  <c r="G862"/>
  <c r="G866"/>
  <c r="G870"/>
  <c r="G874"/>
  <c r="G878"/>
  <c r="G882"/>
  <c r="G886"/>
  <c r="G890"/>
  <c r="G894"/>
  <c r="G898"/>
  <c r="G902"/>
  <c r="G906"/>
  <c r="G910"/>
  <c r="G914"/>
  <c r="G918"/>
  <c r="G922"/>
  <c r="G926"/>
  <c r="G930"/>
  <c r="G934"/>
  <c r="G938"/>
  <c r="G942"/>
  <c r="G946"/>
  <c r="G950"/>
  <c r="G954"/>
  <c r="G958"/>
  <c r="G962"/>
  <c r="G966"/>
  <c r="G970"/>
  <c r="G974"/>
  <c r="G978"/>
  <c r="G982"/>
  <c r="G986"/>
  <c r="G990"/>
  <c r="G994"/>
  <c r="G998"/>
  <c r="G1002"/>
  <c r="G1006"/>
  <c r="G1010"/>
  <c r="G1014"/>
  <c r="G1018"/>
  <c r="G1022"/>
  <c r="G1026"/>
  <c r="G1030"/>
  <c r="G1034"/>
  <c r="G1038"/>
  <c r="G1042"/>
  <c r="G1046"/>
  <c r="G1050"/>
  <c r="G1054"/>
  <c r="G1058"/>
  <c r="G1062"/>
  <c r="G1066"/>
  <c r="G1070"/>
  <c r="G1074"/>
  <c r="G1078"/>
  <c r="G1082"/>
  <c r="G1086"/>
  <c r="G1090"/>
  <c r="G1094"/>
  <c r="G1098"/>
  <c r="G1102"/>
  <c r="G1106"/>
  <c r="G1110"/>
  <c r="G1114"/>
  <c r="G1118"/>
  <c r="G1122"/>
  <c r="G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6"/>
  <c r="H1297"/>
  <c r="H1298"/>
  <c r="H1299"/>
  <c r="H1300"/>
  <c r="H1302"/>
  <c r="H1304"/>
  <c r="H1306"/>
  <c r="H1308"/>
  <c r="H1310"/>
  <c r="H1312"/>
  <c r="H1315"/>
  <c r="H1318"/>
  <c r="H1320"/>
  <c r="H1322"/>
  <c r="H1324"/>
  <c r="H1326"/>
  <c r="H1328"/>
  <c r="H1330"/>
  <c r="H1332"/>
  <c r="H1334"/>
  <c r="H1337"/>
  <c r="H1340"/>
  <c r="H1342"/>
  <c r="H1344"/>
  <c r="H1346"/>
  <c r="G1345"/>
  <c r="F1255"/>
  <c r="F1266"/>
  <c r="F1269"/>
  <c r="F1274"/>
  <c r="F1277"/>
  <c r="F1280"/>
  <c r="F1285"/>
  <c r="F1289"/>
  <c r="F1292"/>
  <c r="F1296"/>
  <c r="F1300"/>
  <c r="F1304"/>
  <c r="F1308"/>
  <c r="F1313"/>
  <c r="F1317"/>
  <c r="F1321"/>
  <c r="F1324"/>
  <c r="F1329"/>
  <c r="F1332"/>
  <c r="F1337"/>
  <c r="F1341"/>
  <c r="F1345"/>
  <c r="F381"/>
  <c r="E415"/>
  <c r="E447"/>
  <c r="E474"/>
  <c r="E490"/>
  <c r="E506"/>
  <c r="E522"/>
  <c r="E538"/>
  <c r="E554"/>
  <c r="E570"/>
  <c r="E586"/>
  <c r="E602"/>
  <c r="E618"/>
  <c r="E634"/>
  <c r="E650"/>
  <c r="E666"/>
  <c r="H678"/>
  <c r="E684"/>
  <c r="F689"/>
  <c r="G693"/>
  <c r="G697"/>
  <c r="G701"/>
  <c r="G705"/>
  <c r="G709"/>
  <c r="G713"/>
  <c r="G717"/>
  <c r="G721"/>
  <c r="G725"/>
  <c r="G729"/>
  <c r="G733"/>
  <c r="G737"/>
  <c r="G741"/>
  <c r="G745"/>
  <c r="G749"/>
  <c r="G753"/>
  <c r="G757"/>
  <c r="G761"/>
  <c r="G765"/>
  <c r="G769"/>
  <c r="G773"/>
  <c r="G777"/>
  <c r="G781"/>
  <c r="G785"/>
  <c r="G789"/>
  <c r="G793"/>
  <c r="G797"/>
  <c r="G801"/>
  <c r="G805"/>
  <c r="G809"/>
  <c r="G813"/>
  <c r="G817"/>
  <c r="G821"/>
  <c r="G825"/>
  <c r="G829"/>
  <c r="G833"/>
  <c r="G837"/>
  <c r="G841"/>
  <c r="G845"/>
  <c r="G849"/>
  <c r="G853"/>
  <c r="G857"/>
  <c r="G861"/>
  <c r="G865"/>
  <c r="G869"/>
  <c r="G873"/>
  <c r="G877"/>
  <c r="G881"/>
  <c r="G885"/>
  <c r="G889"/>
  <c r="G893"/>
  <c r="G897"/>
  <c r="G901"/>
  <c r="G905"/>
  <c r="G909"/>
  <c r="G913"/>
  <c r="G917"/>
  <c r="G921"/>
  <c r="G925"/>
  <c r="G929"/>
  <c r="G933"/>
  <c r="G937"/>
  <c r="G941"/>
  <c r="G945"/>
  <c r="G949"/>
  <c r="G953"/>
  <c r="G957"/>
  <c r="G961"/>
  <c r="G965"/>
  <c r="G969"/>
  <c r="G973"/>
  <c r="G977"/>
  <c r="G981"/>
  <c r="G985"/>
  <c r="G989"/>
  <c r="G993"/>
  <c r="G997"/>
  <c r="G1001"/>
  <c r="G1005"/>
  <c r="G1009"/>
  <c r="G1013"/>
  <c r="G1017"/>
  <c r="G1021"/>
  <c r="G1025"/>
  <c r="G1029"/>
  <c r="G1033"/>
  <c r="G1037"/>
  <c r="G1041"/>
  <c r="G1045"/>
  <c r="G1049"/>
  <c r="G1053"/>
  <c r="G1057"/>
  <c r="G1061"/>
  <c r="G1065"/>
  <c r="G1069"/>
  <c r="G1073"/>
  <c r="G1077"/>
  <c r="G1081"/>
  <c r="G1085"/>
  <c r="G1089"/>
  <c r="G1093"/>
  <c r="G1097"/>
  <c r="G1101"/>
  <c r="G1105"/>
  <c r="G1109"/>
  <c r="G1113"/>
  <c r="G1117"/>
  <c r="G1121"/>
  <c r="G1125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6"/>
  <c r="F1254"/>
  <c r="F1265"/>
  <c r="F1270"/>
  <c r="F1273"/>
  <c r="F1276"/>
  <c r="F1281"/>
  <c r="F1284"/>
  <c r="F1288"/>
  <c r="F1293"/>
  <c r="F1297"/>
  <c r="F1301"/>
  <c r="F1305"/>
  <c r="F1309"/>
  <c r="F1312"/>
  <c r="F1316"/>
  <c r="F1320"/>
  <c r="F1325"/>
  <c r="F1328"/>
  <c r="F1333"/>
  <c r="F1336"/>
  <c r="F1340"/>
  <c r="F1344"/>
  <c r="F365"/>
  <c r="E407"/>
  <c r="E439"/>
  <c r="E470"/>
  <c r="E486"/>
  <c r="E502"/>
  <c r="E518"/>
  <c r="E534"/>
  <c r="E550"/>
  <c r="E566"/>
  <c r="E582"/>
  <c r="E598"/>
  <c r="E614"/>
  <c r="E630"/>
  <c r="E646"/>
  <c r="E662"/>
  <c r="E677"/>
  <c r="H682"/>
  <c r="E688"/>
  <c r="G692"/>
  <c r="G696"/>
  <c r="G700"/>
  <c r="G704"/>
  <c r="G708"/>
  <c r="G712"/>
  <c r="G716"/>
  <c r="G720"/>
  <c r="G724"/>
  <c r="G728"/>
  <c r="G732"/>
  <c r="G736"/>
  <c r="G740"/>
  <c r="G744"/>
  <c r="G748"/>
  <c r="G752"/>
  <c r="G756"/>
  <c r="G760"/>
  <c r="G764"/>
  <c r="G768"/>
  <c r="G772"/>
  <c r="G776"/>
  <c r="G780"/>
  <c r="G784"/>
  <c r="G788"/>
  <c r="G792"/>
  <c r="G796"/>
  <c r="G800"/>
  <c r="G804"/>
  <c r="G808"/>
  <c r="G812"/>
  <c r="G816"/>
  <c r="G820"/>
  <c r="G824"/>
  <c r="G828"/>
  <c r="G832"/>
  <c r="G836"/>
  <c r="G840"/>
  <c r="G844"/>
  <c r="G848"/>
  <c r="G852"/>
  <c r="G856"/>
  <c r="G860"/>
  <c r="G864"/>
  <c r="G868"/>
  <c r="G872"/>
  <c r="G876"/>
  <c r="G880"/>
  <c r="G884"/>
  <c r="G888"/>
  <c r="G892"/>
  <c r="G896"/>
  <c r="G900"/>
  <c r="G904"/>
  <c r="G908"/>
  <c r="G912"/>
  <c r="G916"/>
  <c r="G920"/>
  <c r="G924"/>
  <c r="G928"/>
  <c r="G932"/>
  <c r="G936"/>
  <c r="G940"/>
  <c r="G944"/>
  <c r="G948"/>
  <c r="G952"/>
  <c r="G956"/>
  <c r="G960"/>
  <c r="G964"/>
  <c r="G968"/>
  <c r="G972"/>
  <c r="G976"/>
  <c r="G980"/>
  <c r="G984"/>
  <c r="G988"/>
  <c r="G992"/>
  <c r="G996"/>
  <c r="G1000"/>
  <c r="G1004"/>
  <c r="G1008"/>
  <c r="G1012"/>
  <c r="G1016"/>
  <c r="G1020"/>
  <c r="G1024"/>
  <c r="G1028"/>
  <c r="G1032"/>
  <c r="G1036"/>
  <c r="G1040"/>
  <c r="G1044"/>
  <c r="G1048"/>
  <c r="G1052"/>
  <c r="G1056"/>
  <c r="G1060"/>
  <c r="G1064"/>
  <c r="G1068"/>
  <c r="G1072"/>
  <c r="G1076"/>
  <c r="G1080"/>
  <c r="G1084"/>
  <c r="G1088"/>
  <c r="G1092"/>
  <c r="G1096"/>
  <c r="G1100"/>
  <c r="G1104"/>
  <c r="G1108"/>
  <c r="G1112"/>
  <c r="G1116"/>
  <c r="G1120"/>
  <c r="G1124"/>
  <c r="E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7"/>
  <c r="F1258"/>
  <c r="F1259"/>
  <c r="F1260"/>
  <c r="F1261"/>
  <c r="F1262"/>
  <c r="F1263"/>
  <c r="F1264"/>
  <c r="F1267"/>
  <c r="F1268"/>
  <c r="F1272"/>
  <c r="F1275"/>
  <c r="F1279"/>
  <c r="F1283"/>
  <c r="F1287"/>
  <c r="F1291"/>
  <c r="F1295"/>
  <c r="F1299"/>
  <c r="F1303"/>
  <c r="F1307"/>
  <c r="F1311"/>
  <c r="F1315"/>
  <c r="F1319"/>
  <c r="F1323"/>
  <c r="F1327"/>
  <c r="F1331"/>
  <c r="F1335"/>
  <c r="F1339"/>
  <c r="F1343"/>
  <c r="F1347"/>
  <c r="E18" l="1"/>
  <c r="F18"/>
  <c r="F23"/>
  <c r="F22"/>
  <c r="F11"/>
  <c r="F12"/>
  <c r="F13" l="1"/>
  <c r="E19"/>
  <c r="F26" s="1"/>
  <c r="F27" l="1"/>
  <c r="F28" s="1"/>
</calcChain>
</file>

<file path=xl/sharedStrings.xml><?xml version="1.0" encoding="utf-8"?>
<sst xmlns="http://schemas.openxmlformats.org/spreadsheetml/2006/main" count="52" uniqueCount="34">
  <si>
    <t>Strike</t>
  </si>
  <si>
    <t>Maturity</t>
  </si>
  <si>
    <t>Spot</t>
  </si>
  <si>
    <t>Sigma Minus</t>
  </si>
  <si>
    <t>Sigma Plus</t>
  </si>
  <si>
    <t>Uncertain Volatility Model with Static Hedge</t>
  </si>
  <si>
    <t>Bid</t>
  </si>
  <si>
    <t>Market</t>
  </si>
  <si>
    <t>Risk free rate</t>
  </si>
  <si>
    <t>Vanilla 1</t>
  </si>
  <si>
    <t>Vanilla 2</t>
  </si>
  <si>
    <t>Hedging Portfolio</t>
  </si>
  <si>
    <t>Market Price</t>
  </si>
  <si>
    <t>Quantity</t>
  </si>
  <si>
    <t>Spread</t>
  </si>
  <si>
    <t>FDM</t>
  </si>
  <si>
    <t>Asset steps</t>
  </si>
  <si>
    <t>Payoff</t>
  </si>
  <si>
    <t>Payoff ($)</t>
  </si>
  <si>
    <t>Binary Option</t>
  </si>
  <si>
    <t>Call or Put ?</t>
  </si>
  <si>
    <t>Call</t>
  </si>
  <si>
    <t>Value (Worst)</t>
  </si>
  <si>
    <t>Value (Best)</t>
  </si>
  <si>
    <t>Offer</t>
  </si>
  <si>
    <t>BS Price</t>
  </si>
  <si>
    <t>Strike Offset</t>
  </si>
  <si>
    <t>Without Static Hedging</t>
  </si>
  <si>
    <t>With Static Hedging</t>
  </si>
  <si>
    <t>FDM Output without Static hedge</t>
  </si>
  <si>
    <t>Portfolio</t>
  </si>
  <si>
    <t>Hedging Cost</t>
  </si>
  <si>
    <t>FDM Output with Static hedge</t>
  </si>
  <si>
    <t>Binary Option (Portfolio - Hedging Cost)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</si>
</sst>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2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gray0625">
        <fgColor theme="0" tint="-0.14996795556505021"/>
        <bgColor theme="0"/>
      </patternFill>
    </fill>
    <fill>
      <patternFill patternType="solid">
        <fgColor theme="0"/>
        <bgColor theme="0" tint="-0.14993743705557422"/>
      </patternFill>
    </fill>
  </fills>
  <borders count="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3" fillId="0" borderId="0" xfId="0" applyFont="1"/>
    <xf numFmtId="0" fontId="0" fillId="0" borderId="0" xfId="0" applyBorder="1"/>
    <xf numFmtId="0" fontId="2" fillId="3" borderId="0" xfId="0" applyFont="1" applyFill="1" applyBorder="1"/>
    <xf numFmtId="0" fontId="4" fillId="2" borderId="1" xfId="0" applyFont="1" applyFill="1" applyBorder="1"/>
    <xf numFmtId="0" fontId="5" fillId="0" borderId="0" xfId="0" applyFont="1"/>
    <xf numFmtId="0" fontId="6" fillId="2" borderId="0" xfId="0" applyFont="1" applyFill="1"/>
    <xf numFmtId="0" fontId="4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9" fontId="2" fillId="4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44" fontId="2" fillId="4" borderId="1" xfId="1" applyFont="1" applyFill="1" applyBorder="1" applyAlignment="1">
      <alignment horizontal="center"/>
    </xf>
    <xf numFmtId="44" fontId="2" fillId="0" borderId="1" xfId="1" applyFont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4" fillId="2" borderId="4" xfId="0" applyFont="1" applyFill="1" applyBorder="1"/>
    <xf numFmtId="0" fontId="4" fillId="0" borderId="2" xfId="0" applyFont="1" applyBorder="1" applyAlignment="1">
      <alignment horizontal="center"/>
    </xf>
    <xf numFmtId="44" fontId="4" fillId="0" borderId="2" xfId="1" applyFont="1" applyBorder="1" applyAlignment="1">
      <alignment horizontal="center"/>
    </xf>
    <xf numFmtId="44" fontId="4" fillId="4" borderId="2" xfId="1" applyFont="1" applyFill="1" applyBorder="1" applyAlignment="1">
      <alignment horizontal="center"/>
    </xf>
    <xf numFmtId="0" fontId="4" fillId="3" borderId="0" xfId="0" applyFont="1" applyFill="1" applyBorder="1"/>
    <xf numFmtId="44" fontId="4" fillId="6" borderId="1" xfId="1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9" fontId="2" fillId="4" borderId="6" xfId="0" applyNumberFormat="1" applyFont="1" applyFill="1" applyBorder="1" applyAlignment="1">
      <alignment horizontal="center"/>
    </xf>
    <xf numFmtId="9" fontId="2" fillId="4" borderId="7" xfId="0" applyNumberFormat="1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FFFF99"/>
      <color rgb="FFFFFFCC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R1347"/>
  <sheetViews>
    <sheetView showGridLines="0" tabSelected="1" workbookViewId="0">
      <selection activeCell="J9" sqref="J9"/>
    </sheetView>
  </sheetViews>
  <sheetFormatPr defaultRowHeight="15"/>
  <cols>
    <col min="2" max="2" width="12.5703125" customWidth="1"/>
    <col min="3" max="3" width="9" customWidth="1"/>
    <col min="4" max="4" width="13.140625" customWidth="1"/>
    <col min="5" max="5" width="11.42578125" customWidth="1"/>
    <col min="6" max="6" width="9.5703125" customWidth="1"/>
    <col min="7" max="7" width="10" customWidth="1"/>
    <col min="8" max="8" width="12" customWidth="1"/>
    <col min="12" max="12" width="12.42578125" customWidth="1"/>
  </cols>
  <sheetData>
    <row r="2" spans="2:18" ht="36">
      <c r="B2" s="1"/>
      <c r="C2" s="1"/>
      <c r="D2" s="7"/>
      <c r="E2" s="7" t="s">
        <v>5</v>
      </c>
      <c r="F2" s="7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4" spans="2:18" ht="21">
      <c r="B4" s="6" t="s">
        <v>7</v>
      </c>
      <c r="D4" s="3"/>
      <c r="E4" s="6" t="s">
        <v>19</v>
      </c>
      <c r="H4" s="6" t="s">
        <v>11</v>
      </c>
      <c r="L4" s="6"/>
    </row>
    <row r="5" spans="2:18" ht="14.25" customHeight="1">
      <c r="B5" s="18" t="s">
        <v>2</v>
      </c>
      <c r="C5" s="24">
        <v>100</v>
      </c>
      <c r="D5" s="3"/>
      <c r="E5" s="5" t="s">
        <v>0</v>
      </c>
      <c r="F5" s="9">
        <v>100</v>
      </c>
      <c r="H5" s="2"/>
      <c r="I5" s="8" t="s">
        <v>9</v>
      </c>
      <c r="J5" s="8" t="s">
        <v>10</v>
      </c>
      <c r="L5" s="5" t="s">
        <v>26</v>
      </c>
      <c r="M5" s="10">
        <v>0.2</v>
      </c>
    </row>
    <row r="6" spans="2:18">
      <c r="B6" s="18" t="s">
        <v>8</v>
      </c>
      <c r="C6" s="25">
        <v>0.05</v>
      </c>
      <c r="D6" s="3"/>
      <c r="E6" s="5" t="s">
        <v>1</v>
      </c>
      <c r="F6" s="9">
        <v>1</v>
      </c>
      <c r="H6" s="5" t="s">
        <v>0</v>
      </c>
      <c r="I6" s="11">
        <f>(1-$M$5)*strike</f>
        <v>80</v>
      </c>
      <c r="J6" s="11">
        <f>(1+$M$5)*strike</f>
        <v>120</v>
      </c>
    </row>
    <row r="7" spans="2:18">
      <c r="B7" s="18" t="s">
        <v>3</v>
      </c>
      <c r="C7" s="25">
        <v>0.17</v>
      </c>
      <c r="D7" s="3"/>
      <c r="E7" s="5" t="s">
        <v>18</v>
      </c>
      <c r="F7" s="15">
        <v>10</v>
      </c>
      <c r="H7" s="5" t="s">
        <v>1</v>
      </c>
      <c r="I7" s="31">
        <f>maturity</f>
        <v>1</v>
      </c>
      <c r="J7" s="31">
        <f>maturity</f>
        <v>1</v>
      </c>
    </row>
    <row r="8" spans="2:18" ht="15" customHeight="1">
      <c r="B8" s="18" t="s">
        <v>4</v>
      </c>
      <c r="C8" s="26">
        <v>0.23</v>
      </c>
      <c r="D8" s="3"/>
      <c r="E8" s="5" t="s">
        <v>20</v>
      </c>
      <c r="F8" s="9" t="s">
        <v>21</v>
      </c>
      <c r="H8" s="18" t="s">
        <v>20</v>
      </c>
      <c r="I8" s="19" t="str">
        <f>call_or_put</f>
        <v>Call</v>
      </c>
      <c r="J8" s="19" t="str">
        <f>call_or_put</f>
        <v>Call</v>
      </c>
    </row>
    <row r="9" spans="2:18">
      <c r="B9" s="4"/>
      <c r="C9" s="3"/>
      <c r="D9" s="3"/>
      <c r="H9" s="18" t="s">
        <v>25</v>
      </c>
      <c r="I9" s="20">
        <f>getbsprice(spot,I6,I7,rf,(sigma_minus+sigma_plus)/2,I8)</f>
        <v>24.588835443927735</v>
      </c>
      <c r="J9" s="20">
        <f>getbsprice(spot,J6,J7,rf,(sigma_minus+sigma_plus)/2,J8)</f>
        <v>3.2474774165608054</v>
      </c>
    </row>
    <row r="10" spans="2:18">
      <c r="D10" s="3"/>
      <c r="E10" s="22" t="s">
        <v>27</v>
      </c>
      <c r="H10" s="18" t="s">
        <v>14</v>
      </c>
      <c r="I10" s="21">
        <v>0.2</v>
      </c>
      <c r="J10" s="21">
        <v>0.2</v>
      </c>
    </row>
    <row r="11" spans="2:18" ht="17.25" customHeight="1">
      <c r="D11" s="3"/>
      <c r="E11" s="5" t="s">
        <v>6</v>
      </c>
      <c r="F11" s="16">
        <f>VLOOKUP(spot, fd_output, 3, TRUE)</f>
        <v>4.4084063391615587</v>
      </c>
      <c r="H11" s="18" t="s">
        <v>6</v>
      </c>
      <c r="I11" s="20">
        <f>I9-I10/2</f>
        <v>24.488835443927734</v>
      </c>
      <c r="J11" s="20">
        <f>J9-J10/2</f>
        <v>3.1474774165608053</v>
      </c>
    </row>
    <row r="12" spans="2:18" ht="15.75" customHeight="1">
      <c r="D12" s="3"/>
      <c r="E12" s="5" t="s">
        <v>24</v>
      </c>
      <c r="F12" s="16">
        <f>VLOOKUP(spot, fd_output, 4, TRUE)</f>
        <v>5.8795926757853287</v>
      </c>
      <c r="H12" s="18" t="s">
        <v>24</v>
      </c>
      <c r="I12" s="20">
        <f>I9+I10/2</f>
        <v>24.688835443927736</v>
      </c>
      <c r="J12" s="20">
        <f>J9+J10/2</f>
        <v>3.3474774165608054</v>
      </c>
    </row>
    <row r="13" spans="2:18">
      <c r="D13" s="3"/>
      <c r="E13" s="5" t="s">
        <v>14</v>
      </c>
      <c r="F13" s="17">
        <f>F12-F11</f>
        <v>1.4711863366237701</v>
      </c>
    </row>
    <row r="14" spans="2:18">
      <c r="D14" s="3"/>
    </row>
    <row r="15" spans="2:18">
      <c r="D15" s="3"/>
      <c r="E15" s="22" t="s">
        <v>28</v>
      </c>
    </row>
    <row r="16" spans="2:18">
      <c r="D16" s="3"/>
      <c r="E16" s="8" t="s">
        <v>9</v>
      </c>
      <c r="F16" s="8" t="s">
        <v>10</v>
      </c>
    </row>
    <row r="17" spans="4:6">
      <c r="D17" s="5" t="s">
        <v>13</v>
      </c>
      <c r="E17" s="29">
        <v>-0.4869862043229724</v>
      </c>
      <c r="F17" s="29">
        <v>0.37841279750507784</v>
      </c>
    </row>
    <row r="18" spans="4:6">
      <c r="D18" s="5" t="s">
        <v>12</v>
      </c>
      <c r="E18" s="23">
        <f>IF(E17&gt;0, I12, I11)</f>
        <v>24.488835443927734</v>
      </c>
      <c r="F18" s="23">
        <f>IF(F17&gt;0, J12, J11)</f>
        <v>3.3474774165608054</v>
      </c>
    </row>
    <row r="19" spans="4:6">
      <c r="D19" s="5" t="s">
        <v>31</v>
      </c>
      <c r="E19" s="23">
        <f>E18*E17 +F18*F17</f>
        <v>-10.658996727342394</v>
      </c>
      <c r="F19" s="27"/>
    </row>
    <row r="20" spans="4:6">
      <c r="D20" s="3"/>
      <c r="E20" s="27"/>
      <c r="F20" s="27"/>
    </row>
    <row r="21" spans="4:6">
      <c r="D21" s="3"/>
      <c r="E21" s="28" t="s">
        <v>30</v>
      </c>
      <c r="F21" s="27"/>
    </row>
    <row r="22" spans="4:6" ht="16.5" customHeight="1">
      <c r="E22" s="5" t="s">
        <v>6</v>
      </c>
      <c r="F22" s="16">
        <f>VLOOKUP(spot, fd_output2, 3, TRUE)</f>
        <v>-6.1536361459558755</v>
      </c>
    </row>
    <row r="23" spans="4:6">
      <c r="E23" s="5" t="s">
        <v>24</v>
      </c>
      <c r="F23" s="16">
        <f>VLOOKUP(spot, fd_output2, 4, TRUE)</f>
        <v>-5.0629770270840355</v>
      </c>
    </row>
    <row r="24" spans="4:6">
      <c r="D24" s="3"/>
    </row>
    <row r="25" spans="4:6">
      <c r="D25" s="3"/>
      <c r="E25" s="28" t="s">
        <v>33</v>
      </c>
    </row>
    <row r="26" spans="4:6">
      <c r="D26" s="3"/>
      <c r="E26" s="5" t="s">
        <v>6</v>
      </c>
      <c r="F26" s="30">
        <f>F22-E19</f>
        <v>4.505360581386519</v>
      </c>
    </row>
    <row r="27" spans="4:6">
      <c r="D27" s="3"/>
      <c r="E27" s="5" t="s">
        <v>24</v>
      </c>
      <c r="F27" s="16">
        <f>F23-E19</f>
        <v>5.5960197002583589</v>
      </c>
    </row>
    <row r="28" spans="4:6">
      <c r="D28" s="3"/>
      <c r="E28" s="5" t="s">
        <v>14</v>
      </c>
      <c r="F28" s="17">
        <f>F27-F26</f>
        <v>1.09065911887184</v>
      </c>
    </row>
    <row r="29" spans="4:6">
      <c r="D29" s="3"/>
    </row>
    <row r="30" spans="4:6">
      <c r="E30" s="12" t="s">
        <v>15</v>
      </c>
    </row>
    <row r="31" spans="4:6">
      <c r="E31" s="5" t="s">
        <v>16</v>
      </c>
      <c r="F31" s="13">
        <v>100</v>
      </c>
    </row>
    <row r="33" spans="5:13">
      <c r="E33" s="12" t="s">
        <v>29</v>
      </c>
      <c r="J33" s="12" t="s">
        <v>32</v>
      </c>
    </row>
    <row r="34" spans="5:13">
      <c r="E34" s="8" t="s">
        <v>2</v>
      </c>
      <c r="F34" s="8" t="s">
        <v>17</v>
      </c>
      <c r="G34" s="8" t="s">
        <v>22</v>
      </c>
      <c r="H34" s="8" t="s">
        <v>23</v>
      </c>
      <c r="J34" s="8" t="s">
        <v>2</v>
      </c>
      <c r="K34" s="8" t="s">
        <v>17</v>
      </c>
      <c r="L34" s="8" t="s">
        <v>22</v>
      </c>
      <c r="M34" s="8" t="s">
        <v>23</v>
      </c>
    </row>
    <row r="35" spans="5:13">
      <c r="E35" s="13">
        <f t="array" ref="E35:H1347">GetFDOutput(spot,rf,sigma_minus,sigma_plus,strike,maturity,payoff,call_or_put,num_asset_steps)</f>
        <v>0</v>
      </c>
      <c r="F35" s="13">
        <v>0</v>
      </c>
      <c r="G35" s="14">
        <v>0</v>
      </c>
      <c r="H35" s="14">
        <v>0</v>
      </c>
      <c r="J35" s="13">
        <f t="array" ref="J35:M1347">GetFDOutputwithhedge(rf,sigma_minus,sigma_plus,strike,maturity,payoff,call_or_put,num_asset_steps,strike1,maturity1,quantity1,strike2,J7,quantity2)</f>
        <v>0</v>
      </c>
      <c r="K35" s="13">
        <v>0</v>
      </c>
      <c r="L35" s="14">
        <v>0</v>
      </c>
      <c r="M35" s="14">
        <v>0</v>
      </c>
    </row>
    <row r="36" spans="5:13">
      <c r="E36" s="13">
        <v>2</v>
      </c>
      <c r="F36" s="13">
        <v>0</v>
      </c>
      <c r="G36" s="14">
        <v>4.3418475839683325E-33</v>
      </c>
      <c r="H36" s="14">
        <v>2.4812507312410901E-25</v>
      </c>
      <c r="J36" s="13">
        <v>2</v>
      </c>
      <c r="K36" s="13">
        <v>0</v>
      </c>
      <c r="L36" s="14">
        <v>-5.1890878248568286E-23</v>
      </c>
      <c r="M36" s="14">
        <v>-1.9161141448506463E-29</v>
      </c>
    </row>
    <row r="37" spans="5:13">
      <c r="E37" s="13">
        <v>4</v>
      </c>
      <c r="F37" s="13">
        <v>0</v>
      </c>
      <c r="G37" s="14">
        <v>4.2365471653890877E-30</v>
      </c>
      <c r="H37" s="14">
        <v>1.555768027170456E-22</v>
      </c>
      <c r="J37" s="13">
        <v>4</v>
      </c>
      <c r="K37" s="13">
        <v>0</v>
      </c>
      <c r="L37" s="14">
        <v>-2.7898899425891456E-20</v>
      </c>
      <c r="M37" s="14">
        <v>-1.5665904037243115E-26</v>
      </c>
    </row>
    <row r="38" spans="5:13">
      <c r="E38" s="13">
        <v>6</v>
      </c>
      <c r="F38" s="13">
        <v>0</v>
      </c>
      <c r="G38" s="14">
        <v>1.4604829057177709E-27</v>
      </c>
      <c r="H38" s="14">
        <v>3.0892911371111391E-20</v>
      </c>
      <c r="J38" s="13">
        <v>6</v>
      </c>
      <c r="K38" s="13">
        <v>0</v>
      </c>
      <c r="L38" s="14">
        <v>-4.7289946050289629E-18</v>
      </c>
      <c r="M38" s="14">
        <v>-4.5039413098183692E-24</v>
      </c>
    </row>
    <row r="39" spans="5:13">
      <c r="E39" s="13">
        <v>8</v>
      </c>
      <c r="F39" s="13">
        <v>0</v>
      </c>
      <c r="G39" s="14">
        <v>2.5559137596725835E-25</v>
      </c>
      <c r="H39" s="14">
        <v>2.932227968858661E-18</v>
      </c>
      <c r="J39" s="13">
        <v>8</v>
      </c>
      <c r="K39" s="13">
        <v>0</v>
      </c>
      <c r="L39" s="14">
        <v>-3.8149841105148283E-16</v>
      </c>
      <c r="M39" s="14">
        <v>-6.5421008804970474E-22</v>
      </c>
    </row>
    <row r="40" spans="5:13">
      <c r="E40" s="13">
        <v>10</v>
      </c>
      <c r="F40" s="13">
        <v>0</v>
      </c>
      <c r="G40" s="14">
        <v>2.6748696913025003E-23</v>
      </c>
      <c r="H40" s="14">
        <v>1.6023582092784829E-16</v>
      </c>
      <c r="J40" s="13">
        <v>10</v>
      </c>
      <c r="K40" s="13">
        <v>0</v>
      </c>
      <c r="L40" s="14">
        <v>-1.7647080266858244E-14</v>
      </c>
      <c r="M40" s="14">
        <v>-5.6551969207433328E-20</v>
      </c>
    </row>
    <row r="41" spans="5:13">
      <c r="E41" s="13">
        <v>12</v>
      </c>
      <c r="F41" s="13">
        <v>0</v>
      </c>
      <c r="G41" s="14">
        <v>1.8424964296195566E-21</v>
      </c>
      <c r="H41" s="14">
        <v>5.6192693041843364E-15</v>
      </c>
      <c r="J41" s="13">
        <v>12</v>
      </c>
      <c r="K41" s="13">
        <v>0</v>
      </c>
      <c r="L41" s="14">
        <v>-5.2192886177707325E-13</v>
      </c>
      <c r="M41" s="14">
        <v>-3.2019667881873914E-18</v>
      </c>
    </row>
    <row r="42" spans="5:13">
      <c r="E42" s="13">
        <v>14</v>
      </c>
      <c r="F42" s="13">
        <v>0</v>
      </c>
      <c r="G42" s="14">
        <v>8.9025909237957347E-20</v>
      </c>
      <c r="H42" s="14">
        <v>1.3592589776924014E-13</v>
      </c>
      <c r="J42" s="13">
        <v>14</v>
      </c>
      <c r="K42" s="13">
        <v>0</v>
      </c>
      <c r="L42" s="14">
        <v>-1.0613869650427961E-11</v>
      </c>
      <c r="M42" s="14">
        <v>-1.2655870967672427E-16</v>
      </c>
    </row>
    <row r="43" spans="5:13">
      <c r="E43" s="13">
        <v>16</v>
      </c>
      <c r="F43" s="13">
        <v>0</v>
      </c>
      <c r="G43" s="14">
        <v>3.1585595250382895E-18</v>
      </c>
      <c r="H43" s="14">
        <v>2.3893990892085664E-12</v>
      </c>
      <c r="J43" s="13">
        <v>16</v>
      </c>
      <c r="K43" s="13">
        <v>0</v>
      </c>
      <c r="L43" s="14">
        <v>-1.5645900221702758E-10</v>
      </c>
      <c r="M43" s="14">
        <v>-3.6556195037784813E-15</v>
      </c>
    </row>
    <row r="44" spans="5:13">
      <c r="E44" s="13">
        <v>18</v>
      </c>
      <c r="F44" s="13">
        <v>0</v>
      </c>
      <c r="G44" s="14">
        <v>8.5187046334357333E-17</v>
      </c>
      <c r="H44" s="14">
        <v>3.1771096754109632E-11</v>
      </c>
      <c r="J44" s="13">
        <v>18</v>
      </c>
      <c r="K44" s="13">
        <v>0</v>
      </c>
      <c r="L44" s="14">
        <v>-1.7414728150490713E-9</v>
      </c>
      <c r="M44" s="14">
        <v>-7.9896490001365884E-14</v>
      </c>
    </row>
    <row r="45" spans="5:13">
      <c r="E45" s="13">
        <v>20</v>
      </c>
      <c r="F45" s="13">
        <v>0</v>
      </c>
      <c r="G45" s="14">
        <v>1.7949359108678037E-15</v>
      </c>
      <c r="H45" s="14">
        <v>3.2998783298019032E-10</v>
      </c>
      <c r="J45" s="13">
        <v>20</v>
      </c>
      <c r="K45" s="13">
        <v>0</v>
      </c>
      <c r="L45" s="14">
        <v>-1.5127432500947583E-8</v>
      </c>
      <c r="M45" s="14">
        <v>-1.3581707223483195E-12</v>
      </c>
    </row>
    <row r="46" spans="5:13">
      <c r="E46" s="13">
        <v>22</v>
      </c>
      <c r="F46" s="13">
        <v>0</v>
      </c>
      <c r="G46" s="14">
        <v>3.0213502643084521E-14</v>
      </c>
      <c r="H46" s="14">
        <v>2.7497740836411846E-9</v>
      </c>
      <c r="J46" s="13">
        <v>22</v>
      </c>
      <c r="K46" s="13">
        <v>0</v>
      </c>
      <c r="L46" s="14">
        <v>-1.0543091362985882E-7</v>
      </c>
      <c r="M46" s="14">
        <v>-1.8367123136697148E-11</v>
      </c>
    </row>
    <row r="47" spans="5:13">
      <c r="E47" s="13">
        <v>24</v>
      </c>
      <c r="F47" s="13">
        <v>0</v>
      </c>
      <c r="G47" s="14">
        <v>4.1394502756329007E-13</v>
      </c>
      <c r="H47" s="14">
        <v>1.8808150946914302E-8</v>
      </c>
      <c r="J47" s="13">
        <v>24</v>
      </c>
      <c r="K47" s="13">
        <v>0</v>
      </c>
      <c r="L47" s="14">
        <v>-6.0376472583702143E-7</v>
      </c>
      <c r="M47" s="14">
        <v>-2.0139499531254731E-10</v>
      </c>
    </row>
    <row r="48" spans="5:13">
      <c r="E48" s="13">
        <v>26</v>
      </c>
      <c r="F48" s="13">
        <v>0</v>
      </c>
      <c r="G48" s="14">
        <v>4.6905755473971605E-12</v>
      </c>
      <c r="H48" s="14">
        <v>1.0771755064321719E-7</v>
      </c>
      <c r="J48" s="13">
        <v>26</v>
      </c>
      <c r="K48" s="13">
        <v>0</v>
      </c>
      <c r="L48" s="14">
        <v>-2.9008655495601771E-6</v>
      </c>
      <c r="M48" s="14">
        <v>-1.8201717608275064E-9</v>
      </c>
    </row>
    <row r="49" spans="5:13">
      <c r="E49" s="13">
        <v>28</v>
      </c>
      <c r="F49" s="13">
        <v>0</v>
      </c>
      <c r="G49" s="14">
        <v>4.457881373468871E-11</v>
      </c>
      <c r="H49" s="14">
        <v>5.2572269407904231E-7</v>
      </c>
      <c r="J49" s="13">
        <v>28</v>
      </c>
      <c r="K49" s="13">
        <v>0</v>
      </c>
      <c r="L49" s="14">
        <v>-1.1911973018726174E-5</v>
      </c>
      <c r="M49" s="14">
        <v>-1.375711532870296E-8</v>
      </c>
    </row>
    <row r="50" spans="5:13">
      <c r="E50" s="13">
        <v>30</v>
      </c>
      <c r="F50" s="13">
        <v>0</v>
      </c>
      <c r="G50" s="14">
        <v>3.5979362523363553E-10</v>
      </c>
      <c r="H50" s="14">
        <v>2.2211284649041705E-6</v>
      </c>
      <c r="J50" s="13">
        <v>30</v>
      </c>
      <c r="K50" s="13">
        <v>0</v>
      </c>
      <c r="L50" s="14">
        <v>-4.25019422727604E-5</v>
      </c>
      <c r="M50" s="14">
        <v>-8.8094532471464672E-8</v>
      </c>
    </row>
    <row r="51" spans="5:13">
      <c r="E51" s="13">
        <v>32</v>
      </c>
      <c r="F51" s="13">
        <v>0</v>
      </c>
      <c r="G51" s="14">
        <v>2.493889410359946E-9</v>
      </c>
      <c r="H51" s="14">
        <v>8.2386363978233567E-6</v>
      </c>
      <c r="J51" s="13">
        <v>32</v>
      </c>
      <c r="K51" s="13">
        <v>0</v>
      </c>
      <c r="L51" s="14">
        <v>-1.3372802753905622E-4</v>
      </c>
      <c r="M51" s="14">
        <v>-4.8365402447723785E-7</v>
      </c>
    </row>
    <row r="52" spans="5:13">
      <c r="E52" s="13">
        <v>34</v>
      </c>
      <c r="F52" s="13">
        <v>0</v>
      </c>
      <c r="G52" s="14">
        <v>1.4998741690205466E-8</v>
      </c>
      <c r="H52" s="14">
        <v>2.717113972613821E-5</v>
      </c>
      <c r="J52" s="13">
        <v>34</v>
      </c>
      <c r="K52" s="13">
        <v>0</v>
      </c>
      <c r="L52" s="14">
        <v>-3.7598548719905249E-4</v>
      </c>
      <c r="M52" s="14">
        <v>-2.3016858264373586E-6</v>
      </c>
    </row>
    <row r="53" spans="5:13">
      <c r="E53" s="13">
        <v>36</v>
      </c>
      <c r="F53" s="13">
        <v>0</v>
      </c>
      <c r="G53" s="14">
        <v>7.9012968564020337E-8</v>
      </c>
      <c r="H53" s="14">
        <v>8.059176219148621E-5</v>
      </c>
      <c r="J53" s="13">
        <v>36</v>
      </c>
      <c r="K53" s="13">
        <v>0</v>
      </c>
      <c r="L53" s="14">
        <v>-9.558540734240506E-4</v>
      </c>
      <c r="M53" s="14">
        <v>-9.5921931397382883E-6</v>
      </c>
    </row>
    <row r="54" spans="5:13">
      <c r="E54" s="13">
        <v>38</v>
      </c>
      <c r="F54" s="13">
        <v>0</v>
      </c>
      <c r="G54" s="14">
        <v>3.6781849135440552E-7</v>
      </c>
      <c r="H54" s="14">
        <v>2.1720444403388499E-4</v>
      </c>
      <c r="J54" s="13">
        <v>38</v>
      </c>
      <c r="K54" s="13">
        <v>0</v>
      </c>
      <c r="L54" s="14">
        <v>-2.2205828048300555E-3</v>
      </c>
      <c r="M54" s="14">
        <v>-3.5343386641389407E-5</v>
      </c>
    </row>
    <row r="55" spans="5:13">
      <c r="E55" s="13">
        <v>40</v>
      </c>
      <c r="F55" s="13">
        <v>0</v>
      </c>
      <c r="G55" s="14">
        <v>1.5256004458326263E-6</v>
      </c>
      <c r="H55" s="14">
        <v>5.3685565867308313E-4</v>
      </c>
      <c r="J55" s="13">
        <v>40</v>
      </c>
      <c r="K55" s="13">
        <v>0</v>
      </c>
      <c r="L55" s="14">
        <v>-4.7585854771538027E-3</v>
      </c>
      <c r="M55" s="14">
        <v>-1.1617936257288735E-4</v>
      </c>
    </row>
    <row r="56" spans="5:13">
      <c r="E56" s="13">
        <v>42</v>
      </c>
      <c r="F56" s="13">
        <v>0</v>
      </c>
      <c r="G56" s="14">
        <v>5.6817812749760437E-6</v>
      </c>
      <c r="H56" s="14">
        <v>1.2270544930807219E-3</v>
      </c>
      <c r="J56" s="13">
        <v>42</v>
      </c>
      <c r="K56" s="13">
        <v>0</v>
      </c>
      <c r="L56" s="14">
        <v>-9.4853140950099512E-3</v>
      </c>
      <c r="M56" s="14">
        <v>-3.4361127605986899E-4</v>
      </c>
    </row>
    <row r="57" spans="5:13">
      <c r="E57" s="13">
        <v>44</v>
      </c>
      <c r="F57" s="13">
        <v>0</v>
      </c>
      <c r="G57" s="14">
        <v>1.9139627619950427E-5</v>
      </c>
      <c r="H57" s="14">
        <v>2.6129037039893063E-3</v>
      </c>
      <c r="J57" s="13">
        <v>44</v>
      </c>
      <c r="K57" s="13">
        <v>0</v>
      </c>
      <c r="L57" s="14">
        <v>-1.7717787837179155E-2</v>
      </c>
      <c r="M57" s="14">
        <v>-9.2171750582814202E-4</v>
      </c>
    </row>
    <row r="58" spans="5:13">
      <c r="E58" s="13">
        <v>46</v>
      </c>
      <c r="F58" s="13">
        <v>0</v>
      </c>
      <c r="G58" s="14">
        <v>5.8718529112728935E-5</v>
      </c>
      <c r="H58" s="14">
        <v>5.2183905101989428E-3</v>
      </c>
      <c r="J58" s="13">
        <v>46</v>
      </c>
      <c r="K58" s="13">
        <v>0</v>
      </c>
      <c r="L58" s="14">
        <v>-3.1218356546990008E-2</v>
      </c>
      <c r="M58" s="14">
        <v>-2.2593843951878526E-3</v>
      </c>
    </row>
    <row r="59" spans="5:13">
      <c r="E59" s="13">
        <v>48</v>
      </c>
      <c r="F59" s="13">
        <v>0</v>
      </c>
      <c r="G59" s="14">
        <v>1.6512983547426922E-4</v>
      </c>
      <c r="H59" s="14">
        <v>9.8333564905472345E-3</v>
      </c>
      <c r="J59" s="13">
        <v>48</v>
      </c>
      <c r="K59" s="13">
        <v>0</v>
      </c>
      <c r="L59" s="14">
        <v>-5.2190464546253174E-2</v>
      </c>
      <c r="M59" s="14">
        <v>-5.0970093213571462E-3</v>
      </c>
    </row>
    <row r="60" spans="5:13">
      <c r="E60" s="13">
        <v>50</v>
      </c>
      <c r="F60" s="13">
        <v>0</v>
      </c>
      <c r="G60" s="14">
        <v>4.2828842378775253E-4</v>
      </c>
      <c r="H60" s="14">
        <v>1.7577076895700955E-2</v>
      </c>
      <c r="J60" s="13">
        <v>50</v>
      </c>
      <c r="K60" s="13">
        <v>0</v>
      </c>
      <c r="L60" s="14">
        <v>-8.3216124422883661E-2</v>
      </c>
      <c r="M60" s="14">
        <v>-1.0652503593259024E-2</v>
      </c>
    </row>
    <row r="61" spans="5:13">
      <c r="E61" s="13">
        <v>52</v>
      </c>
      <c r="F61" s="13">
        <v>0</v>
      </c>
      <c r="G61" s="14">
        <v>1.0303876260853099E-3</v>
      </c>
      <c r="H61" s="14">
        <v>2.9947238813784131E-2</v>
      </c>
      <c r="J61" s="13">
        <v>52</v>
      </c>
      <c r="K61" s="13">
        <v>0</v>
      </c>
      <c r="L61" s="14">
        <v>-0.12713484204983919</v>
      </c>
      <c r="M61" s="14">
        <v>-2.0753428985043156E-2</v>
      </c>
    </row>
    <row r="62" spans="5:13">
      <c r="E62" s="13">
        <v>54</v>
      </c>
      <c r="F62" s="13">
        <v>0</v>
      </c>
      <c r="G62" s="14">
        <v>2.3118409906170232E-3</v>
      </c>
      <c r="H62" s="14">
        <v>4.8842972782259915E-2</v>
      </c>
      <c r="J62" s="13">
        <v>54</v>
      </c>
      <c r="K62" s="13">
        <v>0</v>
      </c>
      <c r="L62" s="14">
        <v>-0.18687431380816949</v>
      </c>
      <c r="M62" s="14">
        <v>-3.7908921358334832E-2</v>
      </c>
    </row>
    <row r="63" spans="5:13">
      <c r="E63" s="13">
        <v>56</v>
      </c>
      <c r="F63" s="13">
        <v>0</v>
      </c>
      <c r="G63" s="14">
        <v>4.8618237508906773E-3</v>
      </c>
      <c r="H63" s="14">
        <v>7.6552720267444113E-2</v>
      </c>
      <c r="J63" s="13">
        <v>56</v>
      </c>
      <c r="K63" s="13">
        <v>0</v>
      </c>
      <c r="L63" s="14">
        <v>-0.26525182160502586</v>
      </c>
      <c r="M63" s="14">
        <v>-6.5275066740654683E-2</v>
      </c>
    </row>
    <row r="64" spans="5:13">
      <c r="E64" s="13">
        <v>58</v>
      </c>
      <c r="F64" s="13">
        <v>0</v>
      </c>
      <c r="G64" s="14">
        <v>9.6287950985326654E-3</v>
      </c>
      <c r="H64" s="14">
        <v>0.11570179360003095</v>
      </c>
      <c r="J64" s="13">
        <v>58</v>
      </c>
      <c r="K64" s="13">
        <v>0</v>
      </c>
      <c r="L64" s="14">
        <v>-0.36477010443669622</v>
      </c>
      <c r="M64" s="14">
        <v>-0.10648492918904261</v>
      </c>
    </row>
    <row r="65" spans="5:13">
      <c r="E65" s="13">
        <v>60</v>
      </c>
      <c r="F65" s="13">
        <v>0</v>
      </c>
      <c r="G65" s="14">
        <v>1.8037906116655327E-2</v>
      </c>
      <c r="H65" s="14">
        <v>0.16915972843898752</v>
      </c>
      <c r="J65" s="13">
        <v>60</v>
      </c>
      <c r="K65" s="13">
        <v>0</v>
      </c>
      <c r="L65" s="14">
        <v>-0.48743191733684899</v>
      </c>
      <c r="M65" s="14">
        <v>-0.16534656719604598</v>
      </c>
    </row>
    <row r="66" spans="5:13">
      <c r="E66" s="13">
        <v>62</v>
      </c>
      <c r="F66" s="13">
        <v>0</v>
      </c>
      <c r="G66" s="14">
        <v>3.2093741641368405E-2</v>
      </c>
      <c r="H66" s="14">
        <v>0.23991293704390004</v>
      </c>
      <c r="J66" s="13">
        <v>62</v>
      </c>
      <c r="K66" s="13">
        <v>0</v>
      </c>
      <c r="L66" s="14">
        <v>-0.63459390463266452</v>
      </c>
      <c r="M66" s="14">
        <v>-0.24544933300822125</v>
      </c>
    </row>
    <row r="67" spans="5:13">
      <c r="E67" s="13">
        <v>64</v>
      </c>
      <c r="F67" s="13">
        <v>0</v>
      </c>
      <c r="G67" s="14">
        <v>5.444131195270531E-2</v>
      </c>
      <c r="H67" s="14">
        <v>0.33091277371722405</v>
      </c>
      <c r="J67" s="13">
        <v>64</v>
      </c>
      <c r="K67" s="13">
        <v>0</v>
      </c>
      <c r="L67" s="14">
        <v>-0.80687398473848648</v>
      </c>
      <c r="M67" s="14">
        <v>-0.34974782999825149</v>
      </c>
    </row>
    <row r="68" spans="5:13">
      <c r="E68" s="13">
        <v>66</v>
      </c>
      <c r="F68" s="13">
        <v>0</v>
      </c>
      <c r="G68" s="14">
        <v>8.8358252283615102E-2</v>
      </c>
      <c r="H68" s="14">
        <v>0.44491219784156472</v>
      </c>
      <c r="J68" s="13">
        <v>66</v>
      </c>
      <c r="K68" s="13">
        <v>0</v>
      </c>
      <c r="L68" s="14">
        <v>-1.0041186808864377</v>
      </c>
      <c r="M68" s="14">
        <v>-0.48020389208098024</v>
      </c>
    </row>
    <row r="69" spans="5:13">
      <c r="E69" s="13">
        <v>68</v>
      </c>
      <c r="F69" s="13">
        <v>0</v>
      </c>
      <c r="G69" s="14">
        <v>0.13765811832105959</v>
      </c>
      <c r="H69" s="14">
        <v>0.58430540163328015</v>
      </c>
      <c r="J69" s="13">
        <v>68</v>
      </c>
      <c r="K69" s="13">
        <v>0</v>
      </c>
      <c r="L69" s="14">
        <v>-1.2254291986908452</v>
      </c>
      <c r="M69" s="14">
        <v>-0.63755618750883369</v>
      </c>
    </row>
    <row r="70" spans="5:13">
      <c r="E70" s="13">
        <v>70</v>
      </c>
      <c r="F70" s="13">
        <v>0</v>
      </c>
      <c r="G70" s="14">
        <v>0.20649780019803532</v>
      </c>
      <c r="H70" s="14">
        <v>0.75098406763023529</v>
      </c>
      <c r="J70" s="13">
        <v>70</v>
      </c>
      <c r="K70" s="13">
        <v>0</v>
      </c>
      <c r="L70" s="14">
        <v>-1.4692386843764087</v>
      </c>
      <c r="M70" s="14">
        <v>-0.82125841748468764</v>
      </c>
    </row>
    <row r="71" spans="5:13">
      <c r="E71" s="13">
        <v>72</v>
      </c>
      <c r="F71" s="13">
        <v>0</v>
      </c>
      <c r="G71" s="14">
        <v>0.29909879638930736</v>
      </c>
      <c r="H71" s="14">
        <v>0.94622164634163342</v>
      </c>
      <c r="J71" s="13">
        <v>72</v>
      </c>
      <c r="K71" s="13">
        <v>0</v>
      </c>
      <c r="L71" s="14">
        <v>-1.7334286781050672</v>
      </c>
      <c r="M71" s="14">
        <v>-1.0295898750488255</v>
      </c>
    </row>
    <row r="72" spans="5:13">
      <c r="E72" s="13">
        <v>74</v>
      </c>
      <c r="F72" s="13">
        <v>0</v>
      </c>
      <c r="G72" s="14">
        <v>0.41940859713372469</v>
      </c>
      <c r="H72" s="14">
        <v>1.1705936982171385</v>
      </c>
      <c r="J72" s="13">
        <v>74</v>
      </c>
      <c r="K72" s="13">
        <v>0</v>
      </c>
      <c r="L72" s="14">
        <v>-2.0154705273349798</v>
      </c>
      <c r="M72" s="14">
        <v>-1.2599072334275079</v>
      </c>
    </row>
    <row r="73" spans="5:13">
      <c r="E73" s="13">
        <v>76</v>
      </c>
      <c r="F73" s="13">
        <v>0</v>
      </c>
      <c r="G73" s="14">
        <v>0.57074089742758993</v>
      </c>
      <c r="H73" s="14">
        <v>1.4239384951646095</v>
      </c>
      <c r="J73" s="13">
        <v>76</v>
      </c>
      <c r="K73" s="13">
        <v>0</v>
      </c>
      <c r="L73" s="14">
        <v>-2.3125772925093893</v>
      </c>
      <c r="M73" s="14">
        <v>-1.5089825889686914</v>
      </c>
    </row>
    <row r="74" spans="5:13">
      <c r="E74" s="13">
        <v>78</v>
      </c>
      <c r="F74" s="13">
        <v>0</v>
      </c>
      <c r="G74" s="14">
        <v>0.75543902750162373</v>
      </c>
      <c r="H74" s="14">
        <v>1.7053582597122223</v>
      </c>
      <c r="J74" s="13">
        <v>78</v>
      </c>
      <c r="K74" s="13">
        <v>0</v>
      </c>
      <c r="L74" s="14">
        <v>-2.6218530589916069</v>
      </c>
      <c r="M74" s="14">
        <v>-1.7733643117251634</v>
      </c>
    </row>
    <row r="75" spans="5:13">
      <c r="E75" s="13">
        <v>80</v>
      </c>
      <c r="F75" s="13">
        <v>0</v>
      </c>
      <c r="G75" s="14">
        <v>0.9746048329542536</v>
      </c>
      <c r="H75" s="14">
        <v>2.0132580639005053</v>
      </c>
      <c r="J75" s="13">
        <v>80</v>
      </c>
      <c r="K75" s="13">
        <v>0</v>
      </c>
      <c r="L75" s="14">
        <v>-2.940429042864936</v>
      </c>
      <c r="M75" s="14">
        <v>-2.0497036255431964</v>
      </c>
    </row>
    <row r="76" spans="5:13">
      <c r="E76" s="13">
        <v>82</v>
      </c>
      <c r="F76" s="13">
        <v>0</v>
      </c>
      <c r="G76" s="14">
        <v>1.2279260809117882</v>
      </c>
      <c r="H76" s="14">
        <v>2.3454168034944884</v>
      </c>
      <c r="J76" s="13">
        <v>82</v>
      </c>
      <c r="K76" s="13">
        <v>-0.97397240864594481</v>
      </c>
      <c r="L76" s="14">
        <v>-3.265578911837463</v>
      </c>
      <c r="M76" s="14">
        <v>-2.3350067454238319</v>
      </c>
    </row>
    <row r="77" spans="5:13">
      <c r="E77" s="13">
        <v>84</v>
      </c>
      <c r="F77" s="13">
        <v>0</v>
      </c>
      <c r="G77" s="14">
        <v>1.5136215533998099</v>
      </c>
      <c r="H77" s="14">
        <v>2.6990829476298015</v>
      </c>
      <c r="J77" s="13">
        <v>84</v>
      </c>
      <c r="K77" s="13">
        <v>-1.9479448172918896</v>
      </c>
      <c r="L77" s="14">
        <v>-3.5948088710392438</v>
      </c>
      <c r="M77" s="14">
        <v>-2.6267936602040454</v>
      </c>
    </row>
    <row r="78" spans="5:13">
      <c r="E78" s="13">
        <v>86</v>
      </c>
      <c r="F78" s="13">
        <v>0</v>
      </c>
      <c r="G78" s="14">
        <v>1.8285072323616456</v>
      </c>
      <c r="H78" s="14">
        <v>3.0710869499262494</v>
      </c>
      <c r="J78" s="13">
        <v>86</v>
      </c>
      <c r="K78" s="13">
        <v>-2.9219172259378343</v>
      </c>
      <c r="L78" s="14">
        <v>-3.9259214414026289</v>
      </c>
      <c r="M78" s="14">
        <v>-2.923164256243298</v>
      </c>
    </row>
    <row r="79" spans="5:13">
      <c r="E79" s="13">
        <v>88</v>
      </c>
      <c r="F79" s="13">
        <v>0</v>
      </c>
      <c r="G79" s="14">
        <v>2.1681722038238243</v>
      </c>
      <c r="H79" s="14">
        <v>3.4579622026211818</v>
      </c>
      <c r="J79" s="13">
        <v>88</v>
      </c>
      <c r="K79" s="13">
        <v>-3.8958896345837792</v>
      </c>
      <c r="L79" s="14">
        <v>-4.2570638699384364</v>
      </c>
      <c r="M79" s="14">
        <v>-3.2227862924337374</v>
      </c>
    </row>
    <row r="80" spans="5:13">
      <c r="E80" s="13">
        <v>90</v>
      </c>
      <c r="F80" s="13">
        <v>0</v>
      </c>
      <c r="G80" s="14">
        <v>2.5272412630522374</v>
      </c>
      <c r="H80" s="14">
        <v>3.8560670611391887</v>
      </c>
      <c r="J80" s="13">
        <v>90</v>
      </c>
      <c r="K80" s="13">
        <v>-4.8698620432297242</v>
      </c>
      <c r="L80" s="14">
        <v>-4.5856607714386781</v>
      </c>
      <c r="M80" s="14">
        <v>-3.524826359014952</v>
      </c>
    </row>
    <row r="81" spans="5:13">
      <c r="E81" s="13">
        <v>92</v>
      </c>
      <c r="F81" s="13">
        <v>0</v>
      </c>
      <c r="G81" s="14">
        <v>2.8996939066383773</v>
      </c>
      <c r="H81" s="14">
        <v>4.2617015705972907</v>
      </c>
      <c r="J81" s="13">
        <v>92</v>
      </c>
      <c r="K81" s="13">
        <v>-5.8438344518756686</v>
      </c>
      <c r="L81" s="14">
        <v>-4.9099950030812956</v>
      </c>
      <c r="M81" s="14">
        <v>-3.8288455008893201</v>
      </c>
    </row>
    <row r="82" spans="5:13">
      <c r="E82" s="13">
        <v>94</v>
      </c>
      <c r="F82" s="13">
        <v>0</v>
      </c>
      <c r="G82" s="14">
        <v>3.2792067558878562</v>
      </c>
      <c r="H82" s="14">
        <v>4.6712138931568514</v>
      </c>
      <c r="J82" s="13">
        <v>94</v>
      </c>
      <c r="K82" s="13">
        <v>-6.817806860521614</v>
      </c>
      <c r="L82" s="14">
        <v>-5.2291034769406224</v>
      </c>
      <c r="M82" s="14">
        <v>-4.1346781425407686</v>
      </c>
    </row>
    <row r="83" spans="5:13">
      <c r="E83" s="13">
        <v>96</v>
      </c>
      <c r="F83" s="13">
        <v>0</v>
      </c>
      <c r="G83" s="14">
        <v>3.6594880471142184</v>
      </c>
      <c r="H83" s="14">
        <v>5.0810928910831983</v>
      </c>
      <c r="J83" s="13">
        <v>96</v>
      </c>
      <c r="K83" s="13">
        <v>-7.7917792691675585</v>
      </c>
      <c r="L83" s="14">
        <v>-5.542632433233484</v>
      </c>
      <c r="M83" s="14">
        <v>-4.4423087458072725</v>
      </c>
    </row>
    <row r="84" spans="5:13">
      <c r="E84" s="13">
        <v>98</v>
      </c>
      <c r="F84" s="13">
        <v>0</v>
      </c>
      <c r="G84" s="14">
        <v>4.0368876124400845</v>
      </c>
      <c r="H84" s="14">
        <v>5.4856984307684868</v>
      </c>
      <c r="J84" s="13">
        <v>98</v>
      </c>
      <c r="K84" s="13">
        <v>-8.765751677813503</v>
      </c>
      <c r="L84" s="14">
        <v>-5.8506788417442044</v>
      </c>
      <c r="M84" s="14">
        <v>-4.7517567321645373</v>
      </c>
    </row>
    <row r="85" spans="5:13">
      <c r="E85" s="13">
        <v>100</v>
      </c>
      <c r="F85" s="13">
        <v>0</v>
      </c>
      <c r="G85" s="14">
        <v>4.4084063391615587</v>
      </c>
      <c r="H85" s="14">
        <v>5.8795926757853287</v>
      </c>
      <c r="J85" s="13">
        <v>100</v>
      </c>
      <c r="K85" s="13">
        <v>-9.7397240864594483</v>
      </c>
      <c r="L85" s="14">
        <v>-6.1536361459558755</v>
      </c>
      <c r="M85" s="14">
        <v>-5.0629770270840355</v>
      </c>
    </row>
    <row r="86" spans="5:13">
      <c r="E86" s="13">
        <v>102</v>
      </c>
      <c r="F86" s="13">
        <v>10</v>
      </c>
      <c r="G86" s="14">
        <v>4.771379993038539</v>
      </c>
      <c r="H86" s="14">
        <v>6.2580517297802416</v>
      </c>
      <c r="J86" s="13">
        <v>102</v>
      </c>
      <c r="K86" s="13">
        <v>-0.7136964951053929</v>
      </c>
      <c r="L86" s="14">
        <v>-6.4520575726232954</v>
      </c>
      <c r="M86" s="14">
        <v>-5.3757808031633205</v>
      </c>
    </row>
    <row r="87" spans="5:13">
      <c r="E87" s="13">
        <v>104</v>
      </c>
      <c r="F87" s="13">
        <v>10</v>
      </c>
      <c r="G87" s="14">
        <v>5.1235036150413347</v>
      </c>
      <c r="H87" s="14">
        <v>6.6171898215921372</v>
      </c>
      <c r="J87" s="13">
        <v>104</v>
      </c>
      <c r="K87" s="13">
        <v>-1.6876689037513377</v>
      </c>
      <c r="L87" s="14">
        <v>-6.7465446949615453</v>
      </c>
      <c r="M87" s="14">
        <v>-5.6897773630005357</v>
      </c>
    </row>
    <row r="88" spans="5:13">
      <c r="E88" s="13">
        <v>106</v>
      </c>
      <c r="F88" s="13">
        <v>10</v>
      </c>
      <c r="G88" s="14">
        <v>5.4628420467590022</v>
      </c>
      <c r="H88" s="14">
        <v>6.9540166501680947</v>
      </c>
      <c r="J88" s="13">
        <v>106</v>
      </c>
      <c r="K88" s="13">
        <v>-2.6616413123972826</v>
      </c>
      <c r="L88" s="14">
        <v>-7.0376641334334167</v>
      </c>
      <c r="M88" s="14">
        <v>-6.0043329374195276</v>
      </c>
    </row>
    <row r="89" spans="5:13">
      <c r="E89" s="13">
        <v>108</v>
      </c>
      <c r="F89" s="13">
        <v>10</v>
      </c>
      <c r="G89" s="14">
        <v>5.7878283287537</v>
      </c>
      <c r="H89" s="14">
        <v>7.2664367883588366</v>
      </c>
      <c r="J89" s="13">
        <v>108</v>
      </c>
      <c r="K89" s="13">
        <v>-3.6356137210432271</v>
      </c>
      <c r="L89" s="14">
        <v>-7.3258916155490654</v>
      </c>
      <c r="M89" s="14">
        <v>-6.318699179907262</v>
      </c>
    </row>
    <row r="90" spans="5:13">
      <c r="E90" s="13">
        <v>110</v>
      </c>
      <c r="F90" s="13">
        <v>10</v>
      </c>
      <c r="G90" s="14">
        <v>6.0972519480345264</v>
      </c>
      <c r="H90" s="14">
        <v>7.5532025644848266</v>
      </c>
      <c r="J90" s="13">
        <v>110</v>
      </c>
      <c r="K90" s="13">
        <v>-4.6095861296891725</v>
      </c>
      <c r="L90" s="14">
        <v>-7.6115801985997482</v>
      </c>
      <c r="M90" s="14">
        <v>-6.6323271753512847</v>
      </c>
    </row>
    <row r="91" spans="5:13">
      <c r="E91" s="13">
        <v>112</v>
      </c>
      <c r="F91" s="13">
        <v>10</v>
      </c>
      <c r="G91" s="14">
        <v>6.3902389943131315</v>
      </c>
      <c r="H91" s="14">
        <v>7.8138327393706328</v>
      </c>
      <c r="J91" s="13">
        <v>112</v>
      </c>
      <c r="K91" s="13">
        <v>-5.5835585383351169</v>
      </c>
      <c r="L91" s="14">
        <v>-7.8949481698564687</v>
      </c>
      <c r="M91" s="14">
        <v>-6.9446213018978424</v>
      </c>
    </row>
    <row r="92" spans="5:13">
      <c r="E92" s="13">
        <v>114</v>
      </c>
      <c r="F92" s="13">
        <v>10</v>
      </c>
      <c r="G92" s="14">
        <v>6.6662262469694813</v>
      </c>
      <c r="H92" s="14">
        <v>8.0485089428129744</v>
      </c>
      <c r="J92" s="13">
        <v>114</v>
      </c>
      <c r="K92" s="13">
        <v>-6.5575309469810614</v>
      </c>
      <c r="L92" s="14">
        <v>-8.1760817388263849</v>
      </c>
      <c r="M92" s="14">
        <v>-7.2549570175823961</v>
      </c>
    </row>
    <row r="93" spans="5:13">
      <c r="E93" s="13">
        <v>116</v>
      </c>
      <c r="F93" s="13">
        <v>10</v>
      </c>
      <c r="G93" s="14">
        <v>6.9249310846228713</v>
      </c>
      <c r="H93" s="14">
        <v>8.2579606074964893</v>
      </c>
      <c r="J93" s="13">
        <v>116</v>
      </c>
      <c r="K93" s="13">
        <v>-7.5315033556270068</v>
      </c>
      <c r="L93" s="14">
        <v>-8.4549478513932819</v>
      </c>
      <c r="M93" s="14">
        <v>-7.5626975625251278</v>
      </c>
    </row>
    <row r="94" spans="5:13">
      <c r="E94" s="13">
        <v>118</v>
      </c>
      <c r="F94" s="13">
        <v>10</v>
      </c>
      <c r="G94" s="14">
        <v>7.166318914998425</v>
      </c>
      <c r="H94" s="14">
        <v>8.4433473885177772</v>
      </c>
      <c r="J94" s="13">
        <v>118</v>
      </c>
      <c r="K94" s="13">
        <v>-8.5054757642729513</v>
      </c>
      <c r="L94" s="14">
        <v>-8.7314130359207525</v>
      </c>
      <c r="M94" s="14">
        <v>-7.8672077288188822</v>
      </c>
    </row>
    <row r="95" spans="5:13">
      <c r="E95" s="13">
        <v>120</v>
      </c>
      <c r="F95" s="13">
        <v>10</v>
      </c>
      <c r="G95" s="14">
        <v>7.3905695898704655</v>
      </c>
      <c r="H95" s="14">
        <v>8.6061460759058104</v>
      </c>
      <c r="J95" s="13">
        <v>120</v>
      </c>
      <c r="K95" s="13">
        <v>-9.4794481729188966</v>
      </c>
      <c r="L95" s="14">
        <v>-9.0052649413356196</v>
      </c>
      <c r="M95" s="14">
        <v>-8.1678652026175662</v>
      </c>
    </row>
    <row r="96" spans="5:13">
      <c r="E96" s="13">
        <v>122</v>
      </c>
      <c r="F96" s="13">
        <v>10</v>
      </c>
      <c r="G96" s="14">
        <v>7.5980440198872854</v>
      </c>
      <c r="H96" s="14">
        <v>8.7480470236417425</v>
      </c>
      <c r="J96" s="13">
        <v>122</v>
      </c>
      <c r="K96" s="13">
        <v>-9.6965949865546861</v>
      </c>
      <c r="L96" s="14">
        <v>-9.2762340130522052</v>
      </c>
      <c r="M96" s="14">
        <v>-8.464069980340728</v>
      </c>
    </row>
    <row r="97" spans="5:13">
      <c r="E97" s="13">
        <v>124</v>
      </c>
      <c r="F97" s="13">
        <v>10</v>
      </c>
      <c r="G97" s="14">
        <v>7.7892519542971241</v>
      </c>
      <c r="H97" s="14">
        <v>8.8708632933887159</v>
      </c>
      <c r="J97" s="13">
        <v>124</v>
      </c>
      <c r="K97" s="13">
        <v>-9.9137418001904738</v>
      </c>
      <c r="L97" s="14">
        <v>-9.5440134937725656</v>
      </c>
      <c r="M97" s="14">
        <v>-8.7552519813333944</v>
      </c>
    </row>
    <row r="98" spans="5:13">
      <c r="E98" s="13">
        <v>126</v>
      </c>
      <c r="F98" s="13">
        <v>10</v>
      </c>
      <c r="G98" s="14">
        <v>7.9648216538482322</v>
      </c>
      <c r="H98" s="14">
        <v>8.9764541451780726</v>
      </c>
      <c r="J98" s="13">
        <v>126</v>
      </c>
      <c r="K98" s="13">
        <v>-10.130888613826263</v>
      </c>
      <c r="L98" s="14">
        <v>-9.8082765907813663</v>
      </c>
      <c r="M98" s="14">
        <v>-9.0408768757494862</v>
      </c>
    </row>
    <row r="99" spans="5:13">
      <c r="E99" s="13">
        <v>128</v>
      </c>
      <c r="F99" s="13">
        <v>10</v>
      </c>
      <c r="G99" s="14">
        <v>8.1254719701839342</v>
      </c>
      <c r="H99" s="14">
        <v>9.0666632495163491</v>
      </c>
      <c r="J99" s="13">
        <v>128</v>
      </c>
      <c r="K99" s="13">
        <v>-10.348035427462053</v>
      </c>
      <c r="L99" s="14">
        <v>-10.068690201740459</v>
      </c>
      <c r="M99" s="14">
        <v>-9.3204502092346537</v>
      </c>
    </row>
    <row r="100" spans="5:13">
      <c r="E100" s="13">
        <v>130</v>
      </c>
      <c r="F100" s="13">
        <v>10</v>
      </c>
      <c r="G100" s="14">
        <v>8.2719871571147845</v>
      </c>
      <c r="H100" s="14">
        <v>9.1432710539679114</v>
      </c>
      <c r="J100" s="13">
        <v>130</v>
      </c>
      <c r="K100" s="13">
        <v>-10.565182241097842</v>
      </c>
      <c r="L100" s="14">
        <v>-10.324925033095907</v>
      </c>
      <c r="M100" s="14">
        <v>-9.593519986507193</v>
      </c>
    </row>
    <row r="101" spans="5:13">
      <c r="E101" s="13">
        <v>132</v>
      </c>
      <c r="F101" s="13">
        <v>10</v>
      </c>
      <c r="G101" s="14">
        <v>8.4051945805593533</v>
      </c>
      <c r="H101" s="14">
        <v>9.2079600914666049</v>
      </c>
      <c r="J101" s="13">
        <v>132</v>
      </c>
      <c r="K101" s="13">
        <v>-10.782329054733632</v>
      </c>
      <c r="L101" s="14">
        <v>-10.576662281928124</v>
      </c>
      <c r="M101" s="14">
        <v>-9.8596779255176017</v>
      </c>
    </row>
    <row r="102" spans="5:13">
      <c r="E102" s="13">
        <v>134</v>
      </c>
      <c r="F102" s="13">
        <v>10</v>
      </c>
      <c r="G102" s="14">
        <v>8.5259453648263381</v>
      </c>
      <c r="H102" s="14">
        <v>9.2622916285908587</v>
      </c>
      <c r="J102" s="13">
        <v>134</v>
      </c>
      <c r="K102" s="13">
        <v>-10.999475868369419</v>
      </c>
      <c r="L102" s="14">
        <v>-10.823597290089582</v>
      </c>
      <c r="M102" s="14">
        <v>-10.118559612425564</v>
      </c>
    </row>
    <row r="103" spans="5:13">
      <c r="E103" s="13">
        <v>136</v>
      </c>
      <c r="F103" s="13">
        <v>10</v>
      </c>
      <c r="G103" s="14">
        <v>8.6350979117998286</v>
      </c>
      <c r="H103" s="14">
        <v>9.3076918721027404</v>
      </c>
      <c r="J103" s="13">
        <v>136</v>
      </c>
      <c r="K103" s="13">
        <v>-11.216622682005209</v>
      </c>
      <c r="L103" s="14">
        <v>-11.065440728081901</v>
      </c>
      <c r="M103" s="14">
        <v>-10.369843785038988</v>
      </c>
    </row>
    <row r="104" spans="5:13">
      <c r="E104" s="13">
        <v>138</v>
      </c>
      <c r="F104" s="13">
        <v>10</v>
      </c>
      <c r="G104" s="14">
        <v>8.7335041539791156</v>
      </c>
      <c r="H104" s="14">
        <v>9.3454459316971992</v>
      </c>
      <c r="J104" s="13">
        <v>138</v>
      </c>
      <c r="K104" s="13">
        <v>-11.433769495640998</v>
      </c>
      <c r="L104" s="14">
        <v>-11.301917936824486</v>
      </c>
      <c r="M104" s="14">
        <v>-10.613250956965414</v>
      </c>
    </row>
    <row r="105" spans="5:13">
      <c r="E105" s="13">
        <v>140</v>
      </c>
      <c r="F105" s="13">
        <v>10</v>
      </c>
      <c r="G105" s="14">
        <v>8.8219983491088456</v>
      </c>
      <c r="H105" s="14">
        <v>9.3766978297129793</v>
      </c>
      <c r="J105" s="13">
        <v>140</v>
      </c>
      <c r="K105" s="13">
        <v>-11.650916309276788</v>
      </c>
      <c r="L105" s="14">
        <v>-11.532767061563431</v>
      </c>
      <c r="M105" s="14">
        <v>-10.848541572099727</v>
      </c>
    </row>
    <row r="106" spans="5:13">
      <c r="E106" s="13">
        <v>142</v>
      </c>
      <c r="F106" s="13">
        <v>10</v>
      </c>
      <c r="G106" s="14">
        <v>8.9013881899569238</v>
      </c>
      <c r="H106" s="14">
        <v>9.4024550141377841</v>
      </c>
      <c r="J106" s="13">
        <v>142</v>
      </c>
      <c r="K106" s="13">
        <v>-11.868063122912577</v>
      </c>
      <c r="L106" s="14">
        <v>-11.757736568102731</v>
      </c>
      <c r="M106" s="14">
        <v>-11.075513852813046</v>
      </c>
    </row>
    <row r="107" spans="5:13">
      <c r="E107" s="13">
        <v>144</v>
      </c>
      <c r="F107" s="13">
        <v>10</v>
      </c>
      <c r="G107" s="14">
        <v>8.9724479843027858</v>
      </c>
      <c r="H107" s="14">
        <v>9.4235960366305829</v>
      </c>
      <c r="J107" s="13">
        <v>144</v>
      </c>
      <c r="K107" s="13">
        <v>-12.085209936548367</v>
      </c>
      <c r="L107" s="14">
        <v>-11.976582651977203</v>
      </c>
      <c r="M107" s="14">
        <v>-11.294001477736757</v>
      </c>
    </row>
    <row r="108" spans="5:13">
      <c r="E108" s="13">
        <v>146</v>
      </c>
      <c r="F108" s="13">
        <v>10</v>
      </c>
      <c r="G108" s="14">
        <v>9.0359136542130436</v>
      </c>
      <c r="H108" s="14">
        <v>9.440880277161332</v>
      </c>
      <c r="J108" s="13">
        <v>146</v>
      </c>
      <c r="K108" s="13">
        <v>-12.302356750184154</v>
      </c>
      <c r="L108" s="14">
        <v>-12.189066950051046</v>
      </c>
      <c r="M108" s="14">
        <v>-11.503871198054874</v>
      </c>
    </row>
    <row r="109" spans="5:13">
      <c r="E109" s="13">
        <v>148</v>
      </c>
      <c r="F109" s="13">
        <v>10</v>
      </c>
      <c r="G109" s="14">
        <v>9.0924793073221171</v>
      </c>
      <c r="H109" s="14">
        <v>9.4549588130202853</v>
      </c>
      <c r="J109" s="13">
        <v>148</v>
      </c>
      <c r="K109" s="13">
        <v>-12.519503563819944</v>
      </c>
      <c r="L109" s="14">
        <v>-12.39495485365144</v>
      </c>
      <c r="M109" s="14">
        <v>-11.705020475931489</v>
      </c>
    </row>
    <row r="110" spans="5:13">
      <c r="E110" s="13">
        <v>150</v>
      </c>
      <c r="F110" s="13">
        <v>10</v>
      </c>
      <c r="G110" s="14">
        <v>9.1427951435705737</v>
      </c>
      <c r="H110" s="14">
        <v>9.4663857303040952</v>
      </c>
      <c r="J110" s="13">
        <v>150</v>
      </c>
      <c r="K110" s="13">
        <v>-12.736650377455733</v>
      </c>
      <c r="L110" s="14">
        <v>-12.594014612888346</v>
      </c>
      <c r="M110" s="14">
        <v>-11.897375205916623</v>
      </c>
    </row>
    <row r="111" spans="5:13">
      <c r="E111" s="13">
        <v>152</v>
      </c>
      <c r="F111" s="13">
        <v>10</v>
      </c>
      <c r="G111" s="14">
        <v>9.1874664765261169</v>
      </c>
      <c r="H111" s="14">
        <v>9.4756293534609437</v>
      </c>
      <c r="J111" s="13">
        <v>152</v>
      </c>
      <c r="K111" s="13">
        <v>-12.953797191091523</v>
      </c>
      <c r="L111" s="14">
        <v>-12.786017320958823</v>
      </c>
      <c r="M111" s="14">
        <v>-12.080887560370821</v>
      </c>
    </row>
    <row r="112" spans="5:13">
      <c r="E112" s="13">
        <v>154</v>
      </c>
      <c r="F112" s="13">
        <v>10</v>
      </c>
      <c r="G112" s="14">
        <v>9.227053667233724</v>
      </c>
      <c r="H112" s="14">
        <v>9.4830830198153624</v>
      </c>
      <c r="J112" s="13">
        <v>154</v>
      </c>
      <c r="K112" s="13">
        <v>-13.170944004727312</v>
      </c>
      <c r="L112" s="14">
        <v>-12.970737780205283</v>
      </c>
      <c r="M112" s="14">
        <v>-12.255533983329673</v>
      </c>
    </row>
    <row r="113" spans="5:13">
      <c r="E113" s="13">
        <v>156</v>
      </c>
      <c r="F113" s="13">
        <v>10</v>
      </c>
      <c r="G113" s="14">
        <v>9.26207278907202</v>
      </c>
      <c r="H113" s="14">
        <v>9.4890751507015239</v>
      </c>
      <c r="J113" s="13">
        <v>156</v>
      </c>
      <c r="K113" s="13">
        <v>-13.3880908183631</v>
      </c>
      <c r="L113" s="14">
        <v>-13.147956181453388</v>
      </c>
      <c r="M113" s="14">
        <v>-12.421313343783332</v>
      </c>
    </row>
    <row r="114" spans="5:13">
      <c r="E114" s="13">
        <v>158</v>
      </c>
      <c r="F114" s="13">
        <v>10</v>
      </c>
      <c r="G114" s="14">
        <v>9.2929968632061826</v>
      </c>
      <c r="H114" s="14">
        <v>9.4938784702744936</v>
      </c>
      <c r="J114" s="13">
        <v>158</v>
      </c>
      <c r="K114" s="13">
        <v>-13.605237631998889</v>
      </c>
      <c r="L114" s="14">
        <v>-13.317460475754194</v>
      </c>
      <c r="M114" s="14">
        <v>-12.578245248904723</v>
      </c>
    </row>
    <row r="115" spans="5:13">
      <c r="E115" s="13">
        <v>160</v>
      </c>
      <c r="F115" s="13">
        <v>10</v>
      </c>
      <c r="G115" s="14">
        <v>9.3202575250722521</v>
      </c>
      <c r="H115" s="14">
        <v>9.4977182997322931</v>
      </c>
      <c r="J115" s="13">
        <v>160</v>
      </c>
      <c r="K115" s="13">
        <v>-13.822384445634679</v>
      </c>
      <c r="L115" s="14">
        <v>-13.479049282670116</v>
      </c>
      <c r="M115" s="14">
        <v>-12.72636851005052</v>
      </c>
    </row>
    <row r="116" spans="5:13">
      <c r="E116" s="13">
        <v>162</v>
      </c>
      <c r="F116" s="13">
        <v>10</v>
      </c>
      <c r="G116" s="14">
        <v>9.3442470022868616</v>
      </c>
      <c r="H116" s="14">
        <v>9.5007799116281344</v>
      </c>
      <c r="J116" s="13">
        <v>162</v>
      </c>
      <c r="K116" s="13">
        <v>-14.039531259270468</v>
      </c>
      <c r="L116" s="14">
        <v>-13.632535160187885</v>
      </c>
      <c r="M116" s="14">
        <v>-12.865739749045321</v>
      </c>
    </row>
    <row r="117" spans="5:13">
      <c r="E117" s="13">
        <v>164</v>
      </c>
      <c r="F117" s="13">
        <v>10</v>
      </c>
      <c r="G117" s="14">
        <v>9.3653203030280494</v>
      </c>
      <c r="H117" s="14">
        <v>9.5032149694130528</v>
      </c>
      <c r="J117" s="13">
        <v>164</v>
      </c>
      <c r="K117" s="13">
        <v>-14.256678072906258</v>
      </c>
      <c r="L117" s="14">
        <v>-13.777748056053163</v>
      </c>
      <c r="M117" s="14">
        <v>-12.996432128979343</v>
      </c>
    </row>
    <row r="118" spans="5:13">
      <c r="E118" s="13">
        <v>166</v>
      </c>
      <c r="F118" s="13">
        <v>10</v>
      </c>
      <c r="G118" s="14">
        <v>9.3837975310128101</v>
      </c>
      <c r="H118" s="14">
        <v>9.5051471044542737</v>
      </c>
      <c r="J118" s="13">
        <v>166</v>
      </c>
      <c r="K118" s="13">
        <v>-14.473824886542046</v>
      </c>
      <c r="L118" s="14">
        <v>-13.91453876629334</v>
      </c>
      <c r="M118" s="14">
        <v>-13.118534192137988</v>
      </c>
    </row>
    <row r="119" spans="5:13">
      <c r="E119" s="13">
        <v>168</v>
      </c>
      <c r="F119" s="13">
        <v>10</v>
      </c>
      <c r="G119" s="14">
        <v>9.399966258565831</v>
      </c>
      <c r="H119" s="14">
        <v>9.5066766993870875</v>
      </c>
      <c r="J119" s="13">
        <v>168</v>
      </c>
      <c r="K119" s="13">
        <v>-14.690971700177835</v>
      </c>
      <c r="L119" s="14">
        <v>-14.042782241329965</v>
      </c>
      <c r="M119" s="14">
        <v>-13.232148787389914</v>
      </c>
    </row>
    <row r="120" spans="5:13">
      <c r="E120" s="13">
        <v>170</v>
      </c>
      <c r="F120" s="13">
        <v>10</v>
      </c>
      <c r="G120" s="14">
        <v>9.4140839028874517</v>
      </c>
      <c r="H120" s="14">
        <v>9.5078849552839948</v>
      </c>
      <c r="J120" s="13">
        <v>170</v>
      </c>
      <c r="K120" s="13">
        <v>-14.908118513813625</v>
      </c>
      <c r="L120" s="14">
        <v>-14.162380600880981</v>
      </c>
      <c r="M120" s="14">
        <v>-13.337392070068532</v>
      </c>
    </row>
    <row r="121" spans="5:13">
      <c r="E121" s="13">
        <v>172</v>
      </c>
      <c r="F121" s="13">
        <v>10</v>
      </c>
      <c r="G121" s="14">
        <v>9.4263800625144416</v>
      </c>
      <c r="H121" s="14">
        <v>9.50883732288227</v>
      </c>
      <c r="J121" s="13">
        <v>172</v>
      </c>
      <c r="K121" s="13">
        <v>-15.125265327449414</v>
      </c>
      <c r="L121" s="14">
        <v>-14.273265743541131</v>
      </c>
      <c r="M121" s="14">
        <v>-13.434392558806806</v>
      </c>
    </row>
    <row r="122" spans="5:13">
      <c r="E122" s="13">
        <v>174</v>
      </c>
      <c r="F122" s="13">
        <v>10</v>
      </c>
      <c r="G122" s="14">
        <v>9.4370587812018059</v>
      </c>
      <c r="H122" s="14">
        <v>9.5095863767339743</v>
      </c>
      <c r="J122" s="13">
        <v>174</v>
      </c>
      <c r="K122" s="13">
        <v>-15.342412141085203</v>
      </c>
      <c r="L122" s="14">
        <v>-14.375401463531379</v>
      </c>
      <c r="M122" s="14">
        <v>-13.523290235682357</v>
      </c>
    </row>
    <row r="123" spans="5:13">
      <c r="E123" s="13">
        <v>176</v>
      </c>
      <c r="F123" s="13">
        <v>10</v>
      </c>
      <c r="G123" s="14">
        <v>9.4463007151490146</v>
      </c>
      <c r="H123" s="14">
        <v>9.5101742070097934</v>
      </c>
      <c r="J123" s="13">
        <v>176</v>
      </c>
      <c r="K123" s="13">
        <v>-15.559558954720991</v>
      </c>
      <c r="L123" s="14">
        <v>-14.468785013984698</v>
      </c>
      <c r="M123" s="14">
        <v>-13.604235678195213</v>
      </c>
    </row>
    <row r="124" spans="5:13">
      <c r="E124" s="13">
        <v>178</v>
      </c>
      <c r="F124" s="13">
        <v>10</v>
      </c>
      <c r="G124" s="14">
        <v>9.4542651867810772</v>
      </c>
      <c r="H124" s="14">
        <v>9.5106343978660544</v>
      </c>
      <c r="J124" s="13">
        <v>178</v>
      </c>
      <c r="K124" s="13">
        <v>-15.776705768356781</v>
      </c>
      <c r="L124" s="14">
        <v>-14.553448081984858</v>
      </c>
      <c r="M124" s="14">
        <v>-13.677389213868798</v>
      </c>
    </row>
    <row r="125" spans="5:13">
      <c r="E125" s="13">
        <v>180</v>
      </c>
      <c r="F125" s="13">
        <v>10</v>
      </c>
      <c r="G125" s="14">
        <v>9.4610921143156581</v>
      </c>
      <c r="H125" s="14">
        <v>9.5109936545718803</v>
      </c>
      <c r="J125" s="13">
        <v>180</v>
      </c>
      <c r="K125" s="13">
        <v>-15.99385258199257</v>
      </c>
      <c r="L125" s="14">
        <v>-14.629457164419106</v>
      </c>
      <c r="M125" s="14">
        <v>-13.742920090506901</v>
      </c>
    </row>
    <row r="126" spans="5:13">
      <c r="E126" s="13">
        <v>182</v>
      </c>
      <c r="F126" s="13">
        <v>10</v>
      </c>
      <c r="G126" s="14">
        <v>9.4669038112462278</v>
      </c>
      <c r="H126" s="14">
        <v>9.5112731345698602</v>
      </c>
      <c r="J126" s="13">
        <v>182</v>
      </c>
      <c r="K126" s="13">
        <v>-16.21099939562836</v>
      </c>
      <c r="L126" s="14">
        <v>-14.6969133548623</v>
      </c>
      <c r="M126" s="14">
        <v>-13.801005657258372</v>
      </c>
    </row>
    <row r="127" spans="5:13">
      <c r="E127" s="13">
        <v>184</v>
      </c>
      <c r="F127" s="13">
        <v>10</v>
      </c>
      <c r="G127" s="14">
        <v>9.4718066537891801</v>
      </c>
      <c r="H127" s="14">
        <v>9.5114895307120175</v>
      </c>
      <c r="J127" s="13">
        <v>184</v>
      </c>
      <c r="K127" s="13">
        <v>-16.428146209264149</v>
      </c>
      <c r="L127" s="14">
        <v>-14.755951569753629</v>
      </c>
      <c r="M127" s="14">
        <v>-13.85183055356911</v>
      </c>
    </row>
    <row r="128" spans="5:13">
      <c r="E128" s="13">
        <v>186</v>
      </c>
      <c r="F128" s="13">
        <v>10</v>
      </c>
      <c r="G128" s="14">
        <v>9.475892617413983</v>
      </c>
      <c r="H128" s="14">
        <v>9.5116559483381575</v>
      </c>
      <c r="J128" s="13">
        <v>186</v>
      </c>
      <c r="K128" s="13">
        <v>-16.645293022899939</v>
      </c>
      <c r="L128" s="14">
        <v>-14.806739256851392</v>
      </c>
      <c r="M128" s="14">
        <v>-13.895585904793032</v>
      </c>
    </row>
    <row r="129" spans="5:13">
      <c r="E129" s="13">
        <v>188</v>
      </c>
      <c r="F129" s="13">
        <v>10</v>
      </c>
      <c r="G129" s="14">
        <v>9.4792406859243172</v>
      </c>
      <c r="H129" s="14">
        <v>9.5117826118069733</v>
      </c>
      <c r="J129" s="13">
        <v>188</v>
      </c>
      <c r="K129" s="13">
        <v>-16.862439836535728</v>
      </c>
      <c r="L129" s="14">
        <v>-14.849474640327848</v>
      </c>
      <c r="M129" s="14">
        <v>-13.932468524665955</v>
      </c>
    </row>
    <row r="130" spans="5:13">
      <c r="E130" s="13">
        <v>190</v>
      </c>
      <c r="F130" s="13">
        <v>10</v>
      </c>
      <c r="G130" s="14">
        <v>9.4819181382983295</v>
      </c>
      <c r="H130" s="14">
        <v>9.5118774306349465</v>
      </c>
      <c r="J130" s="13">
        <v>190</v>
      </c>
      <c r="K130" s="13">
        <v>-17.079586650171517</v>
      </c>
      <c r="L130" s="14">
        <v>-14.884384565007217</v>
      </c>
      <c r="M130" s="14">
        <v>-13.962680126010573</v>
      </c>
    </row>
    <row r="131" spans="5:13">
      <c r="E131" s="13">
        <v>192</v>
      </c>
      <c r="F131" s="13">
        <v>10</v>
      </c>
      <c r="G131" s="14">
        <v>9.4839817197291758</v>
      </c>
      <c r="H131" s="14">
        <v>9.5119464505729745</v>
      </c>
      <c r="J131" s="13">
        <v>192</v>
      </c>
      <c r="K131" s="13">
        <v>-17.296733463807307</v>
      </c>
      <c r="L131" s="14">
        <v>-14.911722007373086</v>
      </c>
      <c r="M131" s="14">
        <v>-13.986426541941304</v>
      </c>
    </row>
    <row r="132" spans="5:13">
      <c r="E132" s="13">
        <v>194</v>
      </c>
      <c r="F132" s="13">
        <v>10</v>
      </c>
      <c r="G132" s="14">
        <v>9.4854787041235298</v>
      </c>
      <c r="H132" s="14">
        <v>9.5119942107468773</v>
      </c>
      <c r="J132" s="13">
        <v>194</v>
      </c>
      <c r="K132" s="13">
        <v>-17.513880277443093</v>
      </c>
      <c r="L132" s="14">
        <v>-14.931763323368623</v>
      </c>
      <c r="M132" s="14">
        <v>-14.003916960488418</v>
      </c>
    </row>
    <row r="133" spans="5:13">
      <c r="E133" s="13">
        <v>196</v>
      </c>
      <c r="F133" s="13">
        <v>10</v>
      </c>
      <c r="G133" s="14">
        <v>9.4864478557935339</v>
      </c>
      <c r="H133" s="14">
        <v>9.5120240243719643</v>
      </c>
      <c r="J133" s="13">
        <v>196</v>
      </c>
      <c r="K133" s="13">
        <v>-17.731027091078882</v>
      </c>
      <c r="L133" s="14">
        <v>-14.944805303023632</v>
      </c>
      <c r="M133" s="14">
        <v>-14.015363175982237</v>
      </c>
    </row>
    <row r="134" spans="5:13">
      <c r="E134" s="13">
        <v>198</v>
      </c>
      <c r="F134" s="13">
        <v>10</v>
      </c>
      <c r="G134" s="14">
        <v>9.4869202982856979</v>
      </c>
      <c r="H134" s="14">
        <v>9.5120381974761923</v>
      </c>
      <c r="J134" s="13">
        <v>198</v>
      </c>
      <c r="K134" s="13">
        <v>-17.948173904714672</v>
      </c>
      <c r="L134" s="14">
        <v>-14.95116209993089</v>
      </c>
      <c r="M134" s="14">
        <v>-14.020978860754676</v>
      </c>
    </row>
    <row r="135" spans="5:13">
      <c r="E135" s="13">
        <v>200</v>
      </c>
      <c r="F135" s="13">
        <v>10</v>
      </c>
      <c r="G135" s="14">
        <v>9.4869202982856979</v>
      </c>
      <c r="H135" s="14">
        <v>9.5120381974761923</v>
      </c>
      <c r="J135" s="13">
        <v>200</v>
      </c>
      <c r="K135" s="13">
        <v>-18.165320718350461</v>
      </c>
      <c r="L135" s="14">
        <v>-14.95116209993089</v>
      </c>
      <c r="M135" s="14">
        <v>-14.020978860754676</v>
      </c>
    </row>
    <row r="136" spans="5:13">
      <c r="E136" s="13" t="e">
        <v>#N/A</v>
      </c>
      <c r="F136" s="13" t="e">
        <v>#N/A</v>
      </c>
      <c r="G136" s="14" t="e">
        <v>#N/A</v>
      </c>
      <c r="H136" s="14" t="e">
        <v>#N/A</v>
      </c>
      <c r="J136" s="13" t="e">
        <v>#N/A</v>
      </c>
      <c r="K136" s="13" t="e">
        <v>#N/A</v>
      </c>
      <c r="L136" s="14" t="e">
        <v>#N/A</v>
      </c>
      <c r="M136" s="14" t="e">
        <v>#N/A</v>
      </c>
    </row>
    <row r="137" spans="5:13">
      <c r="E137" s="13" t="e">
        <v>#N/A</v>
      </c>
      <c r="F137" s="13" t="e">
        <v>#N/A</v>
      </c>
      <c r="G137" s="14" t="e">
        <v>#N/A</v>
      </c>
      <c r="H137" s="14" t="e">
        <v>#N/A</v>
      </c>
      <c r="J137" s="13" t="e">
        <v>#N/A</v>
      </c>
      <c r="K137" s="13" t="e">
        <v>#N/A</v>
      </c>
      <c r="L137" s="14" t="e">
        <v>#N/A</v>
      </c>
      <c r="M137" s="14" t="e">
        <v>#N/A</v>
      </c>
    </row>
    <row r="138" spans="5:13">
      <c r="E138" s="13" t="e">
        <v>#N/A</v>
      </c>
      <c r="F138" s="13" t="e">
        <v>#N/A</v>
      </c>
      <c r="G138" s="14" t="e">
        <v>#N/A</v>
      </c>
      <c r="H138" s="14" t="e">
        <v>#N/A</v>
      </c>
      <c r="J138" s="13" t="e">
        <v>#N/A</v>
      </c>
      <c r="K138" s="13" t="e">
        <v>#N/A</v>
      </c>
      <c r="L138" s="14" t="e">
        <v>#N/A</v>
      </c>
      <c r="M138" s="14" t="e">
        <v>#N/A</v>
      </c>
    </row>
    <row r="139" spans="5:13">
      <c r="E139" s="13" t="e">
        <v>#N/A</v>
      </c>
      <c r="F139" s="13" t="e">
        <v>#N/A</v>
      </c>
      <c r="G139" s="14" t="e">
        <v>#N/A</v>
      </c>
      <c r="H139" s="14" t="e">
        <v>#N/A</v>
      </c>
      <c r="J139" s="13" t="e">
        <v>#N/A</v>
      </c>
      <c r="K139" s="13" t="e">
        <v>#N/A</v>
      </c>
      <c r="L139" s="14" t="e">
        <v>#N/A</v>
      </c>
      <c r="M139" s="14" t="e">
        <v>#N/A</v>
      </c>
    </row>
    <row r="140" spans="5:13">
      <c r="E140" s="13" t="e">
        <v>#N/A</v>
      </c>
      <c r="F140" s="13" t="e">
        <v>#N/A</v>
      </c>
      <c r="G140" s="14" t="e">
        <v>#N/A</v>
      </c>
      <c r="H140" s="14" t="e">
        <v>#N/A</v>
      </c>
      <c r="J140" s="13" t="e">
        <v>#N/A</v>
      </c>
      <c r="K140" s="13" t="e">
        <v>#N/A</v>
      </c>
      <c r="L140" s="14" t="e">
        <v>#N/A</v>
      </c>
      <c r="M140" s="14" t="e">
        <v>#N/A</v>
      </c>
    </row>
    <row r="141" spans="5:13">
      <c r="E141" s="13" t="e">
        <v>#N/A</v>
      </c>
      <c r="F141" s="13" t="e">
        <v>#N/A</v>
      </c>
      <c r="G141" s="14" t="e">
        <v>#N/A</v>
      </c>
      <c r="H141" s="14" t="e">
        <v>#N/A</v>
      </c>
      <c r="J141" s="13" t="e">
        <v>#N/A</v>
      </c>
      <c r="K141" s="13" t="e">
        <v>#N/A</v>
      </c>
      <c r="L141" s="14" t="e">
        <v>#N/A</v>
      </c>
      <c r="M141" s="14" t="e">
        <v>#N/A</v>
      </c>
    </row>
    <row r="142" spans="5:13">
      <c r="E142" s="13" t="e">
        <v>#N/A</v>
      </c>
      <c r="F142" s="13" t="e">
        <v>#N/A</v>
      </c>
      <c r="G142" s="14" t="e">
        <v>#N/A</v>
      </c>
      <c r="H142" s="14" t="e">
        <v>#N/A</v>
      </c>
      <c r="J142" s="13" t="e">
        <v>#N/A</v>
      </c>
      <c r="K142" s="13" t="e">
        <v>#N/A</v>
      </c>
      <c r="L142" s="14" t="e">
        <v>#N/A</v>
      </c>
      <c r="M142" s="14" t="e">
        <v>#N/A</v>
      </c>
    </row>
    <row r="143" spans="5:13">
      <c r="E143" s="13" t="e">
        <v>#N/A</v>
      </c>
      <c r="F143" s="13" t="e">
        <v>#N/A</v>
      </c>
      <c r="G143" s="14" t="e">
        <v>#N/A</v>
      </c>
      <c r="H143" s="14" t="e">
        <v>#N/A</v>
      </c>
      <c r="J143" s="13" t="e">
        <v>#N/A</v>
      </c>
      <c r="K143" s="13" t="e">
        <v>#N/A</v>
      </c>
      <c r="L143" s="14" t="e">
        <v>#N/A</v>
      </c>
      <c r="M143" s="14" t="e">
        <v>#N/A</v>
      </c>
    </row>
    <row r="144" spans="5:13">
      <c r="E144" s="13" t="e">
        <v>#N/A</v>
      </c>
      <c r="F144" s="13" t="e">
        <v>#N/A</v>
      </c>
      <c r="G144" s="14" t="e">
        <v>#N/A</v>
      </c>
      <c r="H144" s="14" t="e">
        <v>#N/A</v>
      </c>
      <c r="J144" s="13" t="e">
        <v>#N/A</v>
      </c>
      <c r="K144" s="13" t="e">
        <v>#N/A</v>
      </c>
      <c r="L144" s="14" t="e">
        <v>#N/A</v>
      </c>
      <c r="M144" s="14" t="e">
        <v>#N/A</v>
      </c>
    </row>
    <row r="145" spans="5:13">
      <c r="E145" s="13" t="e">
        <v>#N/A</v>
      </c>
      <c r="F145" s="13" t="e">
        <v>#N/A</v>
      </c>
      <c r="G145" s="14" t="e">
        <v>#N/A</v>
      </c>
      <c r="H145" s="14" t="e">
        <v>#N/A</v>
      </c>
      <c r="J145" s="13" t="e">
        <v>#N/A</v>
      </c>
      <c r="K145" s="13" t="e">
        <v>#N/A</v>
      </c>
      <c r="L145" s="14" t="e">
        <v>#N/A</v>
      </c>
      <c r="M145" s="14" t="e">
        <v>#N/A</v>
      </c>
    </row>
    <row r="146" spans="5:13">
      <c r="E146" s="13" t="e">
        <v>#N/A</v>
      </c>
      <c r="F146" s="13" t="e">
        <v>#N/A</v>
      </c>
      <c r="G146" s="14" t="e">
        <v>#N/A</v>
      </c>
      <c r="H146" s="14" t="e">
        <v>#N/A</v>
      </c>
      <c r="J146" s="13" t="e">
        <v>#N/A</v>
      </c>
      <c r="K146" s="13" t="e">
        <v>#N/A</v>
      </c>
      <c r="L146" s="14" t="e">
        <v>#N/A</v>
      </c>
      <c r="M146" s="14" t="e">
        <v>#N/A</v>
      </c>
    </row>
    <row r="147" spans="5:13">
      <c r="E147" s="13" t="e">
        <v>#N/A</v>
      </c>
      <c r="F147" s="13" t="e">
        <v>#N/A</v>
      </c>
      <c r="G147" s="14" t="e">
        <v>#N/A</v>
      </c>
      <c r="H147" s="14" t="e">
        <v>#N/A</v>
      </c>
      <c r="J147" s="13" t="e">
        <v>#N/A</v>
      </c>
      <c r="K147" s="13" t="e">
        <v>#N/A</v>
      </c>
      <c r="L147" s="14" t="e">
        <v>#N/A</v>
      </c>
      <c r="M147" s="14" t="e">
        <v>#N/A</v>
      </c>
    </row>
    <row r="148" spans="5:13">
      <c r="E148" s="13" t="e">
        <v>#N/A</v>
      </c>
      <c r="F148" s="13" t="e">
        <v>#N/A</v>
      </c>
      <c r="G148" s="14" t="e">
        <v>#N/A</v>
      </c>
      <c r="H148" s="14" t="e">
        <v>#N/A</v>
      </c>
      <c r="J148" s="13" t="e">
        <v>#N/A</v>
      </c>
      <c r="K148" s="13" t="e">
        <v>#N/A</v>
      </c>
      <c r="L148" s="14" t="e">
        <v>#N/A</v>
      </c>
      <c r="M148" s="14" t="e">
        <v>#N/A</v>
      </c>
    </row>
    <row r="149" spans="5:13">
      <c r="E149" s="13" t="e">
        <v>#N/A</v>
      </c>
      <c r="F149" s="13" t="e">
        <v>#N/A</v>
      </c>
      <c r="G149" s="14" t="e">
        <v>#N/A</v>
      </c>
      <c r="H149" s="14" t="e">
        <v>#N/A</v>
      </c>
      <c r="J149" s="13" t="e">
        <v>#N/A</v>
      </c>
      <c r="K149" s="13" t="e">
        <v>#N/A</v>
      </c>
      <c r="L149" s="14" t="e">
        <v>#N/A</v>
      </c>
      <c r="M149" s="14" t="e">
        <v>#N/A</v>
      </c>
    </row>
    <row r="150" spans="5:13">
      <c r="E150" s="13" t="e">
        <v>#N/A</v>
      </c>
      <c r="F150" s="13" t="e">
        <v>#N/A</v>
      </c>
      <c r="G150" s="14" t="e">
        <v>#N/A</v>
      </c>
      <c r="H150" s="14" t="e">
        <v>#N/A</v>
      </c>
      <c r="J150" s="13" t="e">
        <v>#N/A</v>
      </c>
      <c r="K150" s="13" t="e">
        <v>#N/A</v>
      </c>
      <c r="L150" s="14" t="e">
        <v>#N/A</v>
      </c>
      <c r="M150" s="14" t="e">
        <v>#N/A</v>
      </c>
    </row>
    <row r="151" spans="5:13">
      <c r="E151" s="13" t="e">
        <v>#N/A</v>
      </c>
      <c r="F151" s="13" t="e">
        <v>#N/A</v>
      </c>
      <c r="G151" s="14" t="e">
        <v>#N/A</v>
      </c>
      <c r="H151" s="14" t="e">
        <v>#N/A</v>
      </c>
      <c r="J151" s="13" t="e">
        <v>#N/A</v>
      </c>
      <c r="K151" s="13" t="e">
        <v>#N/A</v>
      </c>
      <c r="L151" s="14" t="e">
        <v>#N/A</v>
      </c>
      <c r="M151" s="14" t="e">
        <v>#N/A</v>
      </c>
    </row>
    <row r="152" spans="5:13">
      <c r="E152" s="13" t="e">
        <v>#N/A</v>
      </c>
      <c r="F152" s="13" t="e">
        <v>#N/A</v>
      </c>
      <c r="G152" s="14" t="e">
        <v>#N/A</v>
      </c>
      <c r="H152" s="14" t="e">
        <v>#N/A</v>
      </c>
      <c r="J152" s="13" t="e">
        <v>#N/A</v>
      </c>
      <c r="K152" s="13" t="e">
        <v>#N/A</v>
      </c>
      <c r="L152" s="14" t="e">
        <v>#N/A</v>
      </c>
      <c r="M152" s="14" t="e">
        <v>#N/A</v>
      </c>
    </row>
    <row r="153" spans="5:13">
      <c r="E153" s="13" t="e">
        <v>#N/A</v>
      </c>
      <c r="F153" s="13" t="e">
        <v>#N/A</v>
      </c>
      <c r="G153" s="14" t="e">
        <v>#N/A</v>
      </c>
      <c r="H153" s="14" t="e">
        <v>#N/A</v>
      </c>
      <c r="J153" s="13" t="e">
        <v>#N/A</v>
      </c>
      <c r="K153" s="13" t="e">
        <v>#N/A</v>
      </c>
      <c r="L153" s="14" t="e">
        <v>#N/A</v>
      </c>
      <c r="M153" s="14" t="e">
        <v>#N/A</v>
      </c>
    </row>
    <row r="154" spans="5:13">
      <c r="E154" s="13" t="e">
        <v>#N/A</v>
      </c>
      <c r="F154" s="13" t="e">
        <v>#N/A</v>
      </c>
      <c r="G154" s="14" t="e">
        <v>#N/A</v>
      </c>
      <c r="H154" s="14" t="e">
        <v>#N/A</v>
      </c>
      <c r="J154" s="13" t="e">
        <v>#N/A</v>
      </c>
      <c r="K154" s="13" t="e">
        <v>#N/A</v>
      </c>
      <c r="L154" s="14" t="e">
        <v>#N/A</v>
      </c>
      <c r="M154" s="14" t="e">
        <v>#N/A</v>
      </c>
    </row>
    <row r="155" spans="5:13">
      <c r="E155" s="13" t="e">
        <v>#N/A</v>
      </c>
      <c r="F155" s="13" t="e">
        <v>#N/A</v>
      </c>
      <c r="G155" s="14" t="e">
        <v>#N/A</v>
      </c>
      <c r="H155" s="14" t="e">
        <v>#N/A</v>
      </c>
      <c r="J155" s="13" t="e">
        <v>#N/A</v>
      </c>
      <c r="K155" s="13" t="e">
        <v>#N/A</v>
      </c>
      <c r="L155" s="14" t="e">
        <v>#N/A</v>
      </c>
      <c r="M155" s="14" t="e">
        <v>#N/A</v>
      </c>
    </row>
    <row r="156" spans="5:13">
      <c r="E156" s="13" t="e">
        <v>#N/A</v>
      </c>
      <c r="F156" s="13" t="e">
        <v>#N/A</v>
      </c>
      <c r="G156" s="14" t="e">
        <v>#N/A</v>
      </c>
      <c r="H156" s="14" t="e">
        <v>#N/A</v>
      </c>
      <c r="J156" s="13" t="e">
        <v>#N/A</v>
      </c>
      <c r="K156" s="13" t="e">
        <v>#N/A</v>
      </c>
      <c r="L156" s="14" t="e">
        <v>#N/A</v>
      </c>
      <c r="M156" s="14" t="e">
        <v>#N/A</v>
      </c>
    </row>
    <row r="157" spans="5:13">
      <c r="E157" s="13" t="e">
        <v>#N/A</v>
      </c>
      <c r="F157" s="13" t="e">
        <v>#N/A</v>
      </c>
      <c r="G157" s="14" t="e">
        <v>#N/A</v>
      </c>
      <c r="H157" s="14" t="e">
        <v>#N/A</v>
      </c>
      <c r="J157" s="13" t="e">
        <v>#N/A</v>
      </c>
      <c r="K157" s="13" t="e">
        <v>#N/A</v>
      </c>
      <c r="L157" s="14" t="e">
        <v>#N/A</v>
      </c>
      <c r="M157" s="14" t="e">
        <v>#N/A</v>
      </c>
    </row>
    <row r="158" spans="5:13">
      <c r="E158" s="13" t="e">
        <v>#N/A</v>
      </c>
      <c r="F158" s="13" t="e">
        <v>#N/A</v>
      </c>
      <c r="G158" s="14" t="e">
        <v>#N/A</v>
      </c>
      <c r="H158" s="14" t="e">
        <v>#N/A</v>
      </c>
      <c r="J158" s="13" t="e">
        <v>#N/A</v>
      </c>
      <c r="K158" s="13" t="e">
        <v>#N/A</v>
      </c>
      <c r="L158" s="14" t="e">
        <v>#N/A</v>
      </c>
      <c r="M158" s="14" t="e">
        <v>#N/A</v>
      </c>
    </row>
    <row r="159" spans="5:13">
      <c r="E159" s="13" t="e">
        <v>#N/A</v>
      </c>
      <c r="F159" s="13" t="e">
        <v>#N/A</v>
      </c>
      <c r="G159" s="14" t="e">
        <v>#N/A</v>
      </c>
      <c r="H159" s="14" t="e">
        <v>#N/A</v>
      </c>
      <c r="J159" s="13" t="e">
        <v>#N/A</v>
      </c>
      <c r="K159" s="13" t="e">
        <v>#N/A</v>
      </c>
      <c r="L159" s="14" t="e">
        <v>#N/A</v>
      </c>
      <c r="M159" s="14" t="e">
        <v>#N/A</v>
      </c>
    </row>
    <row r="160" spans="5:13">
      <c r="E160" s="13" t="e">
        <v>#N/A</v>
      </c>
      <c r="F160" s="13" t="e">
        <v>#N/A</v>
      </c>
      <c r="G160" s="14" t="e">
        <v>#N/A</v>
      </c>
      <c r="H160" s="14" t="e">
        <v>#N/A</v>
      </c>
      <c r="J160" s="13" t="e">
        <v>#N/A</v>
      </c>
      <c r="K160" s="13" t="e">
        <v>#N/A</v>
      </c>
      <c r="L160" s="14" t="e">
        <v>#N/A</v>
      </c>
      <c r="M160" s="14" t="e">
        <v>#N/A</v>
      </c>
    </row>
    <row r="161" spans="5:13">
      <c r="E161" s="13" t="e">
        <v>#N/A</v>
      </c>
      <c r="F161" s="13" t="e">
        <v>#N/A</v>
      </c>
      <c r="G161" s="14" t="e">
        <v>#N/A</v>
      </c>
      <c r="H161" s="14" t="e">
        <v>#N/A</v>
      </c>
      <c r="J161" s="13" t="e">
        <v>#N/A</v>
      </c>
      <c r="K161" s="13" t="e">
        <v>#N/A</v>
      </c>
      <c r="L161" s="14" t="e">
        <v>#N/A</v>
      </c>
      <c r="M161" s="14" t="e">
        <v>#N/A</v>
      </c>
    </row>
    <row r="162" spans="5:13">
      <c r="E162" s="13" t="e">
        <v>#N/A</v>
      </c>
      <c r="F162" s="13" t="e">
        <v>#N/A</v>
      </c>
      <c r="G162" s="14" t="e">
        <v>#N/A</v>
      </c>
      <c r="H162" s="14" t="e">
        <v>#N/A</v>
      </c>
      <c r="J162" s="13" t="e">
        <v>#N/A</v>
      </c>
      <c r="K162" s="13" t="e">
        <v>#N/A</v>
      </c>
      <c r="L162" s="14" t="e">
        <v>#N/A</v>
      </c>
      <c r="M162" s="14" t="e">
        <v>#N/A</v>
      </c>
    </row>
    <row r="163" spans="5:13">
      <c r="E163" s="13" t="e">
        <v>#N/A</v>
      </c>
      <c r="F163" s="13" t="e">
        <v>#N/A</v>
      </c>
      <c r="G163" s="14" t="e">
        <v>#N/A</v>
      </c>
      <c r="H163" s="14" t="e">
        <v>#N/A</v>
      </c>
      <c r="J163" s="13" t="e">
        <v>#N/A</v>
      </c>
      <c r="K163" s="13" t="e">
        <v>#N/A</v>
      </c>
      <c r="L163" s="14" t="e">
        <v>#N/A</v>
      </c>
      <c r="M163" s="14" t="e">
        <v>#N/A</v>
      </c>
    </row>
    <row r="164" spans="5:13">
      <c r="E164" s="13" t="e">
        <v>#N/A</v>
      </c>
      <c r="F164" s="13" t="e">
        <v>#N/A</v>
      </c>
      <c r="G164" s="14" t="e">
        <v>#N/A</v>
      </c>
      <c r="H164" s="14" t="e">
        <v>#N/A</v>
      </c>
      <c r="J164" s="13" t="e">
        <v>#N/A</v>
      </c>
      <c r="K164" s="13" t="e">
        <v>#N/A</v>
      </c>
      <c r="L164" s="14" t="e">
        <v>#N/A</v>
      </c>
      <c r="M164" s="14" t="e">
        <v>#N/A</v>
      </c>
    </row>
    <row r="165" spans="5:13">
      <c r="E165" s="13" t="e">
        <v>#N/A</v>
      </c>
      <c r="F165" s="13" t="e">
        <v>#N/A</v>
      </c>
      <c r="G165" s="14" t="e">
        <v>#N/A</v>
      </c>
      <c r="H165" s="14" t="e">
        <v>#N/A</v>
      </c>
      <c r="J165" s="13" t="e">
        <v>#N/A</v>
      </c>
      <c r="K165" s="13" t="e">
        <v>#N/A</v>
      </c>
      <c r="L165" s="14" t="e">
        <v>#N/A</v>
      </c>
      <c r="M165" s="14" t="e">
        <v>#N/A</v>
      </c>
    </row>
    <row r="166" spans="5:13">
      <c r="E166" s="13" t="e">
        <v>#N/A</v>
      </c>
      <c r="F166" s="13" t="e">
        <v>#N/A</v>
      </c>
      <c r="G166" s="14" t="e">
        <v>#N/A</v>
      </c>
      <c r="H166" s="14" t="e">
        <v>#N/A</v>
      </c>
      <c r="J166" s="13" t="e">
        <v>#N/A</v>
      </c>
      <c r="K166" s="13" t="e">
        <v>#N/A</v>
      </c>
      <c r="L166" s="14" t="e">
        <v>#N/A</v>
      </c>
      <c r="M166" s="14" t="e">
        <v>#N/A</v>
      </c>
    </row>
    <row r="167" spans="5:13">
      <c r="E167" s="13" t="e">
        <v>#N/A</v>
      </c>
      <c r="F167" s="13" t="e">
        <v>#N/A</v>
      </c>
      <c r="G167" s="14" t="e">
        <v>#N/A</v>
      </c>
      <c r="H167" s="14" t="e">
        <v>#N/A</v>
      </c>
      <c r="J167" s="13" t="e">
        <v>#N/A</v>
      </c>
      <c r="K167" s="13" t="e">
        <v>#N/A</v>
      </c>
      <c r="L167" s="14" t="e">
        <v>#N/A</v>
      </c>
      <c r="M167" s="14" t="e">
        <v>#N/A</v>
      </c>
    </row>
    <row r="168" spans="5:13">
      <c r="E168" s="13" t="e">
        <v>#N/A</v>
      </c>
      <c r="F168" s="13" t="e">
        <v>#N/A</v>
      </c>
      <c r="G168" s="14" t="e">
        <v>#N/A</v>
      </c>
      <c r="H168" s="14" t="e">
        <v>#N/A</v>
      </c>
      <c r="J168" s="13" t="e">
        <v>#N/A</v>
      </c>
      <c r="K168" s="13" t="e">
        <v>#N/A</v>
      </c>
      <c r="L168" s="14" t="e">
        <v>#N/A</v>
      </c>
      <c r="M168" s="14" t="e">
        <v>#N/A</v>
      </c>
    </row>
    <row r="169" spans="5:13">
      <c r="E169" s="13" t="e">
        <v>#N/A</v>
      </c>
      <c r="F169" s="13" t="e">
        <v>#N/A</v>
      </c>
      <c r="G169" s="14" t="e">
        <v>#N/A</v>
      </c>
      <c r="H169" s="14" t="e">
        <v>#N/A</v>
      </c>
      <c r="J169" s="13" t="e">
        <v>#N/A</v>
      </c>
      <c r="K169" s="13" t="e">
        <v>#N/A</v>
      </c>
      <c r="L169" s="14" t="e">
        <v>#N/A</v>
      </c>
      <c r="M169" s="14" t="e">
        <v>#N/A</v>
      </c>
    </row>
    <row r="170" spans="5:13">
      <c r="E170" s="13" t="e">
        <v>#N/A</v>
      </c>
      <c r="F170" s="13" t="e">
        <v>#N/A</v>
      </c>
      <c r="G170" s="14" t="e">
        <v>#N/A</v>
      </c>
      <c r="H170" s="14" t="e">
        <v>#N/A</v>
      </c>
      <c r="J170" s="13" t="e">
        <v>#N/A</v>
      </c>
      <c r="K170" s="13" t="e">
        <v>#N/A</v>
      </c>
      <c r="L170" s="14" t="e">
        <v>#N/A</v>
      </c>
      <c r="M170" s="14" t="e">
        <v>#N/A</v>
      </c>
    </row>
    <row r="171" spans="5:13">
      <c r="E171" s="13" t="e">
        <v>#N/A</v>
      </c>
      <c r="F171" s="13" t="e">
        <v>#N/A</v>
      </c>
      <c r="G171" s="14" t="e">
        <v>#N/A</v>
      </c>
      <c r="H171" s="14" t="e">
        <v>#N/A</v>
      </c>
      <c r="J171" s="13" t="e">
        <v>#N/A</v>
      </c>
      <c r="K171" s="13" t="e">
        <v>#N/A</v>
      </c>
      <c r="L171" s="14" t="e">
        <v>#N/A</v>
      </c>
      <c r="M171" s="14" t="e">
        <v>#N/A</v>
      </c>
    </row>
    <row r="172" spans="5:13">
      <c r="E172" s="13" t="e">
        <v>#N/A</v>
      </c>
      <c r="F172" s="13" t="e">
        <v>#N/A</v>
      </c>
      <c r="G172" s="14" t="e">
        <v>#N/A</v>
      </c>
      <c r="H172" s="14" t="e">
        <v>#N/A</v>
      </c>
      <c r="J172" s="13" t="e">
        <v>#N/A</v>
      </c>
      <c r="K172" s="13" t="e">
        <v>#N/A</v>
      </c>
      <c r="L172" s="14" t="e">
        <v>#N/A</v>
      </c>
      <c r="M172" s="14" t="e">
        <v>#N/A</v>
      </c>
    </row>
    <row r="173" spans="5:13">
      <c r="E173" s="13" t="e">
        <v>#N/A</v>
      </c>
      <c r="F173" s="13" t="e">
        <v>#N/A</v>
      </c>
      <c r="G173" s="14" t="e">
        <v>#N/A</v>
      </c>
      <c r="H173" s="14" t="e">
        <v>#N/A</v>
      </c>
      <c r="J173" s="13" t="e">
        <v>#N/A</v>
      </c>
      <c r="K173" s="13" t="e">
        <v>#N/A</v>
      </c>
      <c r="L173" s="14" t="e">
        <v>#N/A</v>
      </c>
      <c r="M173" s="14" t="e">
        <v>#N/A</v>
      </c>
    </row>
    <row r="174" spans="5:13">
      <c r="E174" s="13" t="e">
        <v>#N/A</v>
      </c>
      <c r="F174" s="13" t="e">
        <v>#N/A</v>
      </c>
      <c r="G174" s="14" t="e">
        <v>#N/A</v>
      </c>
      <c r="H174" s="14" t="e">
        <v>#N/A</v>
      </c>
      <c r="J174" s="13" t="e">
        <v>#N/A</v>
      </c>
      <c r="K174" s="13" t="e">
        <v>#N/A</v>
      </c>
      <c r="L174" s="14" t="e">
        <v>#N/A</v>
      </c>
      <c r="M174" s="14" t="e">
        <v>#N/A</v>
      </c>
    </row>
    <row r="175" spans="5:13">
      <c r="E175" s="13" t="e">
        <v>#N/A</v>
      </c>
      <c r="F175" s="13" t="e">
        <v>#N/A</v>
      </c>
      <c r="G175" s="14" t="e">
        <v>#N/A</v>
      </c>
      <c r="H175" s="14" t="e">
        <v>#N/A</v>
      </c>
      <c r="J175" s="13" t="e">
        <v>#N/A</v>
      </c>
      <c r="K175" s="13" t="e">
        <v>#N/A</v>
      </c>
      <c r="L175" s="14" t="e">
        <v>#N/A</v>
      </c>
      <c r="M175" s="14" t="e">
        <v>#N/A</v>
      </c>
    </row>
    <row r="176" spans="5:13">
      <c r="E176" s="13" t="e">
        <v>#N/A</v>
      </c>
      <c r="F176" s="13" t="e">
        <v>#N/A</v>
      </c>
      <c r="G176" s="14" t="e">
        <v>#N/A</v>
      </c>
      <c r="H176" s="14" t="e">
        <v>#N/A</v>
      </c>
      <c r="J176" s="13" t="e">
        <v>#N/A</v>
      </c>
      <c r="K176" s="13" t="e">
        <v>#N/A</v>
      </c>
      <c r="L176" s="14" t="e">
        <v>#N/A</v>
      </c>
      <c r="M176" s="14" t="e">
        <v>#N/A</v>
      </c>
    </row>
    <row r="177" spans="5:13">
      <c r="E177" s="13" t="e">
        <v>#N/A</v>
      </c>
      <c r="F177" s="13" t="e">
        <v>#N/A</v>
      </c>
      <c r="G177" s="14" t="e">
        <v>#N/A</v>
      </c>
      <c r="H177" s="14" t="e">
        <v>#N/A</v>
      </c>
      <c r="J177" s="13" t="e">
        <v>#N/A</v>
      </c>
      <c r="K177" s="13" t="e">
        <v>#N/A</v>
      </c>
      <c r="L177" s="14" t="e">
        <v>#N/A</v>
      </c>
      <c r="M177" s="14" t="e">
        <v>#N/A</v>
      </c>
    </row>
    <row r="178" spans="5:13">
      <c r="E178" s="13" t="e">
        <v>#N/A</v>
      </c>
      <c r="F178" s="13" t="e">
        <v>#N/A</v>
      </c>
      <c r="G178" s="14" t="e">
        <v>#N/A</v>
      </c>
      <c r="H178" s="14" t="e">
        <v>#N/A</v>
      </c>
      <c r="J178" s="13" t="e">
        <v>#N/A</v>
      </c>
      <c r="K178" s="13" t="e">
        <v>#N/A</v>
      </c>
      <c r="L178" s="14" t="e">
        <v>#N/A</v>
      </c>
      <c r="M178" s="14" t="e">
        <v>#N/A</v>
      </c>
    </row>
    <row r="179" spans="5:13">
      <c r="E179" s="13" t="e">
        <v>#N/A</v>
      </c>
      <c r="F179" s="13" t="e">
        <v>#N/A</v>
      </c>
      <c r="G179" s="14" t="e">
        <v>#N/A</v>
      </c>
      <c r="H179" s="14" t="e">
        <v>#N/A</v>
      </c>
      <c r="J179" s="13" t="e">
        <v>#N/A</v>
      </c>
      <c r="K179" s="13" t="e">
        <v>#N/A</v>
      </c>
      <c r="L179" s="14" t="e">
        <v>#N/A</v>
      </c>
      <c r="M179" s="14" t="e">
        <v>#N/A</v>
      </c>
    </row>
    <row r="180" spans="5:13">
      <c r="E180" s="13" t="e">
        <v>#N/A</v>
      </c>
      <c r="F180" s="13" t="e">
        <v>#N/A</v>
      </c>
      <c r="G180" s="14" t="e">
        <v>#N/A</v>
      </c>
      <c r="H180" s="14" t="e">
        <v>#N/A</v>
      </c>
      <c r="J180" s="13" t="e">
        <v>#N/A</v>
      </c>
      <c r="K180" s="13" t="e">
        <v>#N/A</v>
      </c>
      <c r="L180" s="14" t="e">
        <v>#N/A</v>
      </c>
      <c r="M180" s="14" t="e">
        <v>#N/A</v>
      </c>
    </row>
    <row r="181" spans="5:13">
      <c r="E181" s="13" t="e">
        <v>#N/A</v>
      </c>
      <c r="F181" s="13" t="e">
        <v>#N/A</v>
      </c>
      <c r="G181" s="14" t="e">
        <v>#N/A</v>
      </c>
      <c r="H181" s="14" t="e">
        <v>#N/A</v>
      </c>
      <c r="J181" s="13" t="e">
        <v>#N/A</v>
      </c>
      <c r="K181" s="13" t="e">
        <v>#N/A</v>
      </c>
      <c r="L181" s="14" t="e">
        <v>#N/A</v>
      </c>
      <c r="M181" s="14" t="e">
        <v>#N/A</v>
      </c>
    </row>
    <row r="182" spans="5:13">
      <c r="E182" s="13" t="e">
        <v>#N/A</v>
      </c>
      <c r="F182" s="13" t="e">
        <v>#N/A</v>
      </c>
      <c r="G182" s="14" t="e">
        <v>#N/A</v>
      </c>
      <c r="H182" s="14" t="e">
        <v>#N/A</v>
      </c>
      <c r="J182" s="13" t="e">
        <v>#N/A</v>
      </c>
      <c r="K182" s="13" t="e">
        <v>#N/A</v>
      </c>
      <c r="L182" s="14" t="e">
        <v>#N/A</v>
      </c>
      <c r="M182" s="14" t="e">
        <v>#N/A</v>
      </c>
    </row>
    <row r="183" spans="5:13">
      <c r="E183" s="13" t="e">
        <v>#N/A</v>
      </c>
      <c r="F183" s="13" t="e">
        <v>#N/A</v>
      </c>
      <c r="G183" s="14" t="e">
        <v>#N/A</v>
      </c>
      <c r="H183" s="14" t="e">
        <v>#N/A</v>
      </c>
      <c r="J183" s="13" t="e">
        <v>#N/A</v>
      </c>
      <c r="K183" s="13" t="e">
        <v>#N/A</v>
      </c>
      <c r="L183" s="14" t="e">
        <v>#N/A</v>
      </c>
      <c r="M183" s="14" t="e">
        <v>#N/A</v>
      </c>
    </row>
    <row r="184" spans="5:13">
      <c r="E184" s="13" t="e">
        <v>#N/A</v>
      </c>
      <c r="F184" s="13" t="e">
        <v>#N/A</v>
      </c>
      <c r="G184" s="14" t="e">
        <v>#N/A</v>
      </c>
      <c r="H184" s="14" t="e">
        <v>#N/A</v>
      </c>
      <c r="J184" s="13" t="e">
        <v>#N/A</v>
      </c>
      <c r="K184" s="13" t="e">
        <v>#N/A</v>
      </c>
      <c r="L184" s="14" t="e">
        <v>#N/A</v>
      </c>
      <c r="M184" s="14" t="e">
        <v>#N/A</v>
      </c>
    </row>
    <row r="185" spans="5:13">
      <c r="E185" s="13" t="e">
        <v>#N/A</v>
      </c>
      <c r="F185" s="13" t="e">
        <v>#N/A</v>
      </c>
      <c r="G185" s="14" t="e">
        <v>#N/A</v>
      </c>
      <c r="H185" s="14" t="e">
        <v>#N/A</v>
      </c>
      <c r="J185" s="13" t="e">
        <v>#N/A</v>
      </c>
      <c r="K185" s="13" t="e">
        <v>#N/A</v>
      </c>
      <c r="L185" s="14" t="e">
        <v>#N/A</v>
      </c>
      <c r="M185" s="14" t="e">
        <v>#N/A</v>
      </c>
    </row>
    <row r="186" spans="5:13">
      <c r="E186" s="13" t="e">
        <v>#N/A</v>
      </c>
      <c r="F186" s="13" t="e">
        <v>#N/A</v>
      </c>
      <c r="G186" s="14" t="e">
        <v>#N/A</v>
      </c>
      <c r="H186" s="14" t="e">
        <v>#N/A</v>
      </c>
      <c r="J186" s="13" t="e">
        <v>#N/A</v>
      </c>
      <c r="K186" s="13" t="e">
        <v>#N/A</v>
      </c>
      <c r="L186" s="14" t="e">
        <v>#N/A</v>
      </c>
      <c r="M186" s="14" t="e">
        <v>#N/A</v>
      </c>
    </row>
    <row r="187" spans="5:13">
      <c r="E187" s="13" t="e">
        <v>#N/A</v>
      </c>
      <c r="F187" s="13" t="e">
        <v>#N/A</v>
      </c>
      <c r="G187" s="14" t="e">
        <v>#N/A</v>
      </c>
      <c r="H187" s="14" t="e">
        <v>#N/A</v>
      </c>
      <c r="J187" s="13" t="e">
        <v>#N/A</v>
      </c>
      <c r="K187" s="13" t="e">
        <v>#N/A</v>
      </c>
      <c r="L187" s="14" t="e">
        <v>#N/A</v>
      </c>
      <c r="M187" s="14" t="e">
        <v>#N/A</v>
      </c>
    </row>
    <row r="188" spans="5:13">
      <c r="E188" s="13" t="e">
        <v>#N/A</v>
      </c>
      <c r="F188" s="13" t="e">
        <v>#N/A</v>
      </c>
      <c r="G188" s="14" t="e">
        <v>#N/A</v>
      </c>
      <c r="H188" s="14" t="e">
        <v>#N/A</v>
      </c>
      <c r="J188" s="13" t="e">
        <v>#N/A</v>
      </c>
      <c r="K188" s="13" t="e">
        <v>#N/A</v>
      </c>
      <c r="L188" s="14" t="e">
        <v>#N/A</v>
      </c>
      <c r="M188" s="14" t="e">
        <v>#N/A</v>
      </c>
    </row>
    <row r="189" spans="5:13">
      <c r="E189" s="13" t="e">
        <v>#N/A</v>
      </c>
      <c r="F189" s="13" t="e">
        <v>#N/A</v>
      </c>
      <c r="G189" s="14" t="e">
        <v>#N/A</v>
      </c>
      <c r="H189" s="14" t="e">
        <v>#N/A</v>
      </c>
      <c r="J189" s="13" t="e">
        <v>#N/A</v>
      </c>
      <c r="K189" s="13" t="e">
        <v>#N/A</v>
      </c>
      <c r="L189" s="14" t="e">
        <v>#N/A</v>
      </c>
      <c r="M189" s="14" t="e">
        <v>#N/A</v>
      </c>
    </row>
    <row r="190" spans="5:13">
      <c r="E190" s="13" t="e">
        <v>#N/A</v>
      </c>
      <c r="F190" s="13" t="e">
        <v>#N/A</v>
      </c>
      <c r="G190" s="14" t="e">
        <v>#N/A</v>
      </c>
      <c r="H190" s="14" t="e">
        <v>#N/A</v>
      </c>
      <c r="J190" s="13" t="e">
        <v>#N/A</v>
      </c>
      <c r="K190" s="13" t="e">
        <v>#N/A</v>
      </c>
      <c r="L190" s="14" t="e">
        <v>#N/A</v>
      </c>
      <c r="M190" s="14" t="e">
        <v>#N/A</v>
      </c>
    </row>
    <row r="191" spans="5:13">
      <c r="E191" s="13" t="e">
        <v>#N/A</v>
      </c>
      <c r="F191" s="13" t="e">
        <v>#N/A</v>
      </c>
      <c r="G191" s="14" t="e">
        <v>#N/A</v>
      </c>
      <c r="H191" s="14" t="e">
        <v>#N/A</v>
      </c>
      <c r="J191" s="13" t="e">
        <v>#N/A</v>
      </c>
      <c r="K191" s="13" t="e">
        <v>#N/A</v>
      </c>
      <c r="L191" s="14" t="e">
        <v>#N/A</v>
      </c>
      <c r="M191" s="14" t="e">
        <v>#N/A</v>
      </c>
    </row>
    <row r="192" spans="5:13">
      <c r="E192" s="13" t="e">
        <v>#N/A</v>
      </c>
      <c r="F192" s="13" t="e">
        <v>#N/A</v>
      </c>
      <c r="G192" s="14" t="e">
        <v>#N/A</v>
      </c>
      <c r="H192" s="14" t="e">
        <v>#N/A</v>
      </c>
      <c r="J192" s="13" t="e">
        <v>#N/A</v>
      </c>
      <c r="K192" s="13" t="e">
        <v>#N/A</v>
      </c>
      <c r="L192" s="14" t="e">
        <v>#N/A</v>
      </c>
      <c r="M192" s="14" t="e">
        <v>#N/A</v>
      </c>
    </row>
    <row r="193" spans="5:13">
      <c r="E193" s="13" t="e">
        <v>#N/A</v>
      </c>
      <c r="F193" s="13" t="e">
        <v>#N/A</v>
      </c>
      <c r="G193" s="14" t="e">
        <v>#N/A</v>
      </c>
      <c r="H193" s="14" t="e">
        <v>#N/A</v>
      </c>
      <c r="J193" s="13" t="e">
        <v>#N/A</v>
      </c>
      <c r="K193" s="13" t="e">
        <v>#N/A</v>
      </c>
      <c r="L193" s="14" t="e">
        <v>#N/A</v>
      </c>
      <c r="M193" s="14" t="e">
        <v>#N/A</v>
      </c>
    </row>
    <row r="194" spans="5:13">
      <c r="E194" s="13" t="e">
        <v>#N/A</v>
      </c>
      <c r="F194" s="13" t="e">
        <v>#N/A</v>
      </c>
      <c r="G194" s="14" t="e">
        <v>#N/A</v>
      </c>
      <c r="H194" s="14" t="e">
        <v>#N/A</v>
      </c>
      <c r="J194" s="13" t="e">
        <v>#N/A</v>
      </c>
      <c r="K194" s="13" t="e">
        <v>#N/A</v>
      </c>
      <c r="L194" s="14" t="e">
        <v>#N/A</v>
      </c>
      <c r="M194" s="14" t="e">
        <v>#N/A</v>
      </c>
    </row>
    <row r="195" spans="5:13">
      <c r="E195" s="13" t="e">
        <v>#N/A</v>
      </c>
      <c r="F195" s="13" t="e">
        <v>#N/A</v>
      </c>
      <c r="G195" s="14" t="e">
        <v>#N/A</v>
      </c>
      <c r="H195" s="14" t="e">
        <v>#N/A</v>
      </c>
      <c r="J195" s="13" t="e">
        <v>#N/A</v>
      </c>
      <c r="K195" s="13" t="e">
        <v>#N/A</v>
      </c>
      <c r="L195" s="14" t="e">
        <v>#N/A</v>
      </c>
      <c r="M195" s="14" t="e">
        <v>#N/A</v>
      </c>
    </row>
    <row r="196" spans="5:13">
      <c r="E196" s="13" t="e">
        <v>#N/A</v>
      </c>
      <c r="F196" s="13" t="e">
        <v>#N/A</v>
      </c>
      <c r="G196" s="14" t="e">
        <v>#N/A</v>
      </c>
      <c r="H196" s="14" t="e">
        <v>#N/A</v>
      </c>
      <c r="J196" s="13" t="e">
        <v>#N/A</v>
      </c>
      <c r="K196" s="13" t="e">
        <v>#N/A</v>
      </c>
      <c r="L196" s="14" t="e">
        <v>#N/A</v>
      </c>
      <c r="M196" s="14" t="e">
        <v>#N/A</v>
      </c>
    </row>
    <row r="197" spans="5:13">
      <c r="E197" s="13" t="e">
        <v>#N/A</v>
      </c>
      <c r="F197" s="13" t="e">
        <v>#N/A</v>
      </c>
      <c r="G197" s="14" t="e">
        <v>#N/A</v>
      </c>
      <c r="H197" s="14" t="e">
        <v>#N/A</v>
      </c>
      <c r="J197" s="13" t="e">
        <v>#N/A</v>
      </c>
      <c r="K197" s="13" t="e">
        <v>#N/A</v>
      </c>
      <c r="L197" s="14" t="e">
        <v>#N/A</v>
      </c>
      <c r="M197" s="14" t="e">
        <v>#N/A</v>
      </c>
    </row>
    <row r="198" spans="5:13">
      <c r="E198" s="13" t="e">
        <v>#N/A</v>
      </c>
      <c r="F198" s="13" t="e">
        <v>#N/A</v>
      </c>
      <c r="G198" s="14" t="e">
        <v>#N/A</v>
      </c>
      <c r="H198" s="14" t="e">
        <v>#N/A</v>
      </c>
      <c r="J198" s="13" t="e">
        <v>#N/A</v>
      </c>
      <c r="K198" s="13" t="e">
        <v>#N/A</v>
      </c>
      <c r="L198" s="14" t="e">
        <v>#N/A</v>
      </c>
      <c r="M198" s="14" t="e">
        <v>#N/A</v>
      </c>
    </row>
    <row r="199" spans="5:13">
      <c r="E199" s="13" t="e">
        <v>#N/A</v>
      </c>
      <c r="F199" s="13" t="e">
        <v>#N/A</v>
      </c>
      <c r="G199" s="14" t="e">
        <v>#N/A</v>
      </c>
      <c r="H199" s="14" t="e">
        <v>#N/A</v>
      </c>
      <c r="J199" s="13" t="e">
        <v>#N/A</v>
      </c>
      <c r="K199" s="13" t="e">
        <v>#N/A</v>
      </c>
      <c r="L199" s="14" t="e">
        <v>#N/A</v>
      </c>
      <c r="M199" s="14" t="e">
        <v>#N/A</v>
      </c>
    </row>
    <row r="200" spans="5:13">
      <c r="E200" s="13" t="e">
        <v>#N/A</v>
      </c>
      <c r="F200" s="13" t="e">
        <v>#N/A</v>
      </c>
      <c r="G200" s="14" t="e">
        <v>#N/A</v>
      </c>
      <c r="H200" s="14" t="e">
        <v>#N/A</v>
      </c>
      <c r="J200" s="13" t="e">
        <v>#N/A</v>
      </c>
      <c r="K200" s="13" t="e">
        <v>#N/A</v>
      </c>
      <c r="L200" s="14" t="e">
        <v>#N/A</v>
      </c>
      <c r="M200" s="14" t="e">
        <v>#N/A</v>
      </c>
    </row>
    <row r="201" spans="5:13">
      <c r="E201" s="13" t="e">
        <v>#N/A</v>
      </c>
      <c r="F201" s="13" t="e">
        <v>#N/A</v>
      </c>
      <c r="G201" s="14" t="e">
        <v>#N/A</v>
      </c>
      <c r="H201" s="14" t="e">
        <v>#N/A</v>
      </c>
      <c r="J201" s="13" t="e">
        <v>#N/A</v>
      </c>
      <c r="K201" s="13" t="e">
        <v>#N/A</v>
      </c>
      <c r="L201" s="14" t="e">
        <v>#N/A</v>
      </c>
      <c r="M201" s="14" t="e">
        <v>#N/A</v>
      </c>
    </row>
    <row r="202" spans="5:13">
      <c r="E202" s="13" t="e">
        <v>#N/A</v>
      </c>
      <c r="F202" s="13" t="e">
        <v>#N/A</v>
      </c>
      <c r="G202" s="14" t="e">
        <v>#N/A</v>
      </c>
      <c r="H202" s="14" t="e">
        <v>#N/A</v>
      </c>
      <c r="J202" s="13" t="e">
        <v>#N/A</v>
      </c>
      <c r="K202" s="13" t="e">
        <v>#N/A</v>
      </c>
      <c r="L202" s="14" t="e">
        <v>#N/A</v>
      </c>
      <c r="M202" s="14" t="e">
        <v>#N/A</v>
      </c>
    </row>
    <row r="203" spans="5:13">
      <c r="E203" s="13" t="e">
        <v>#N/A</v>
      </c>
      <c r="F203" s="13" t="e">
        <v>#N/A</v>
      </c>
      <c r="G203" s="14" t="e">
        <v>#N/A</v>
      </c>
      <c r="H203" s="14" t="e">
        <v>#N/A</v>
      </c>
      <c r="J203" s="13" t="e">
        <v>#N/A</v>
      </c>
      <c r="K203" s="13" t="e">
        <v>#N/A</v>
      </c>
      <c r="L203" s="14" t="e">
        <v>#N/A</v>
      </c>
      <c r="M203" s="14" t="e">
        <v>#N/A</v>
      </c>
    </row>
    <row r="204" spans="5:13">
      <c r="E204" s="13" t="e">
        <v>#N/A</v>
      </c>
      <c r="F204" s="13" t="e">
        <v>#N/A</v>
      </c>
      <c r="G204" s="14" t="e">
        <v>#N/A</v>
      </c>
      <c r="H204" s="14" t="e">
        <v>#N/A</v>
      </c>
      <c r="J204" s="13" t="e">
        <v>#N/A</v>
      </c>
      <c r="K204" s="13" t="e">
        <v>#N/A</v>
      </c>
      <c r="L204" s="14" t="e">
        <v>#N/A</v>
      </c>
      <c r="M204" s="14" t="e">
        <v>#N/A</v>
      </c>
    </row>
    <row r="205" spans="5:13">
      <c r="E205" s="13" t="e">
        <v>#N/A</v>
      </c>
      <c r="F205" s="13" t="e">
        <v>#N/A</v>
      </c>
      <c r="G205" s="14" t="e">
        <v>#N/A</v>
      </c>
      <c r="H205" s="14" t="e">
        <v>#N/A</v>
      </c>
      <c r="J205" s="13" t="e">
        <v>#N/A</v>
      </c>
      <c r="K205" s="13" t="e">
        <v>#N/A</v>
      </c>
      <c r="L205" s="14" t="e">
        <v>#N/A</v>
      </c>
      <c r="M205" s="14" t="e">
        <v>#N/A</v>
      </c>
    </row>
    <row r="206" spans="5:13">
      <c r="E206" s="13" t="e">
        <v>#N/A</v>
      </c>
      <c r="F206" s="13" t="e">
        <v>#N/A</v>
      </c>
      <c r="G206" s="14" t="e">
        <v>#N/A</v>
      </c>
      <c r="H206" s="14" t="e">
        <v>#N/A</v>
      </c>
      <c r="J206" s="13" t="e">
        <v>#N/A</v>
      </c>
      <c r="K206" s="13" t="e">
        <v>#N/A</v>
      </c>
      <c r="L206" s="14" t="e">
        <v>#N/A</v>
      </c>
      <c r="M206" s="14" t="e">
        <v>#N/A</v>
      </c>
    </row>
    <row r="207" spans="5:13">
      <c r="E207" s="13" t="e">
        <v>#N/A</v>
      </c>
      <c r="F207" s="13" t="e">
        <v>#N/A</v>
      </c>
      <c r="G207" s="14" t="e">
        <v>#N/A</v>
      </c>
      <c r="H207" s="14" t="e">
        <v>#N/A</v>
      </c>
      <c r="J207" s="13" t="e">
        <v>#N/A</v>
      </c>
      <c r="K207" s="13" t="e">
        <v>#N/A</v>
      </c>
      <c r="L207" s="14" t="e">
        <v>#N/A</v>
      </c>
      <c r="M207" s="14" t="e">
        <v>#N/A</v>
      </c>
    </row>
    <row r="208" spans="5:13">
      <c r="E208" s="13" t="e">
        <v>#N/A</v>
      </c>
      <c r="F208" s="13" t="e">
        <v>#N/A</v>
      </c>
      <c r="G208" s="14" t="e">
        <v>#N/A</v>
      </c>
      <c r="H208" s="14" t="e">
        <v>#N/A</v>
      </c>
      <c r="J208" s="13" t="e">
        <v>#N/A</v>
      </c>
      <c r="K208" s="13" t="e">
        <v>#N/A</v>
      </c>
      <c r="L208" s="14" t="e">
        <v>#N/A</v>
      </c>
      <c r="M208" s="14" t="e">
        <v>#N/A</v>
      </c>
    </row>
    <row r="209" spans="5:13">
      <c r="E209" s="13" t="e">
        <v>#N/A</v>
      </c>
      <c r="F209" s="13" t="e">
        <v>#N/A</v>
      </c>
      <c r="G209" s="14" t="e">
        <v>#N/A</v>
      </c>
      <c r="H209" s="14" t="e">
        <v>#N/A</v>
      </c>
      <c r="J209" s="13" t="e">
        <v>#N/A</v>
      </c>
      <c r="K209" s="13" t="e">
        <v>#N/A</v>
      </c>
      <c r="L209" s="14" t="e">
        <v>#N/A</v>
      </c>
      <c r="M209" s="14" t="e">
        <v>#N/A</v>
      </c>
    </row>
    <row r="210" spans="5:13">
      <c r="E210" s="13" t="e">
        <v>#N/A</v>
      </c>
      <c r="F210" s="13" t="e">
        <v>#N/A</v>
      </c>
      <c r="G210" s="14" t="e">
        <v>#N/A</v>
      </c>
      <c r="H210" s="14" t="e">
        <v>#N/A</v>
      </c>
      <c r="J210" s="13" t="e">
        <v>#N/A</v>
      </c>
      <c r="K210" s="13" t="e">
        <v>#N/A</v>
      </c>
      <c r="L210" s="14" t="e">
        <v>#N/A</v>
      </c>
      <c r="M210" s="14" t="e">
        <v>#N/A</v>
      </c>
    </row>
    <row r="211" spans="5:13">
      <c r="E211" s="13" t="e">
        <v>#N/A</v>
      </c>
      <c r="F211" s="13" t="e">
        <v>#N/A</v>
      </c>
      <c r="G211" s="14" t="e">
        <v>#N/A</v>
      </c>
      <c r="H211" s="14" t="e">
        <v>#N/A</v>
      </c>
      <c r="J211" s="13" t="e">
        <v>#N/A</v>
      </c>
      <c r="K211" s="13" t="e">
        <v>#N/A</v>
      </c>
      <c r="L211" s="14" t="e">
        <v>#N/A</v>
      </c>
      <c r="M211" s="14" t="e">
        <v>#N/A</v>
      </c>
    </row>
    <row r="212" spans="5:13">
      <c r="E212" s="13" t="e">
        <v>#N/A</v>
      </c>
      <c r="F212" s="13" t="e">
        <v>#N/A</v>
      </c>
      <c r="G212" s="14" t="e">
        <v>#N/A</v>
      </c>
      <c r="H212" s="14" t="e">
        <v>#N/A</v>
      </c>
      <c r="J212" s="13" t="e">
        <v>#N/A</v>
      </c>
      <c r="K212" s="13" t="e">
        <v>#N/A</v>
      </c>
      <c r="L212" s="14" t="e">
        <v>#N/A</v>
      </c>
      <c r="M212" s="14" t="e">
        <v>#N/A</v>
      </c>
    </row>
    <row r="213" spans="5:13">
      <c r="E213" s="13" t="e">
        <v>#N/A</v>
      </c>
      <c r="F213" s="13" t="e">
        <v>#N/A</v>
      </c>
      <c r="G213" s="14" t="e">
        <v>#N/A</v>
      </c>
      <c r="H213" s="14" t="e">
        <v>#N/A</v>
      </c>
      <c r="J213" s="13" t="e">
        <v>#N/A</v>
      </c>
      <c r="K213" s="13" t="e">
        <v>#N/A</v>
      </c>
      <c r="L213" s="14" t="e">
        <v>#N/A</v>
      </c>
      <c r="M213" s="14" t="e">
        <v>#N/A</v>
      </c>
    </row>
    <row r="214" spans="5:13">
      <c r="E214" s="13" t="e">
        <v>#N/A</v>
      </c>
      <c r="F214" s="13" t="e">
        <v>#N/A</v>
      </c>
      <c r="G214" s="14" t="e">
        <v>#N/A</v>
      </c>
      <c r="H214" s="14" t="e">
        <v>#N/A</v>
      </c>
      <c r="J214" s="13" t="e">
        <v>#N/A</v>
      </c>
      <c r="K214" s="13" t="e">
        <v>#N/A</v>
      </c>
      <c r="L214" s="14" t="e">
        <v>#N/A</v>
      </c>
      <c r="M214" s="14" t="e">
        <v>#N/A</v>
      </c>
    </row>
    <row r="215" spans="5:13">
      <c r="E215" s="13" t="e">
        <v>#N/A</v>
      </c>
      <c r="F215" s="13" t="e">
        <v>#N/A</v>
      </c>
      <c r="G215" s="14" t="e">
        <v>#N/A</v>
      </c>
      <c r="H215" s="14" t="e">
        <v>#N/A</v>
      </c>
      <c r="J215" s="13" t="e">
        <v>#N/A</v>
      </c>
      <c r="K215" s="13" t="e">
        <v>#N/A</v>
      </c>
      <c r="L215" s="14" t="e">
        <v>#N/A</v>
      </c>
      <c r="M215" s="14" t="e">
        <v>#N/A</v>
      </c>
    </row>
    <row r="216" spans="5:13">
      <c r="E216" s="13" t="e">
        <v>#N/A</v>
      </c>
      <c r="F216" s="13" t="e">
        <v>#N/A</v>
      </c>
      <c r="G216" s="14" t="e">
        <v>#N/A</v>
      </c>
      <c r="H216" s="14" t="e">
        <v>#N/A</v>
      </c>
      <c r="J216" s="13" t="e">
        <v>#N/A</v>
      </c>
      <c r="K216" s="13" t="e">
        <v>#N/A</v>
      </c>
      <c r="L216" s="14" t="e">
        <v>#N/A</v>
      </c>
      <c r="M216" s="14" t="e">
        <v>#N/A</v>
      </c>
    </row>
    <row r="217" spans="5:13">
      <c r="E217" s="13" t="e">
        <v>#N/A</v>
      </c>
      <c r="F217" s="13" t="e">
        <v>#N/A</v>
      </c>
      <c r="G217" s="14" t="e">
        <v>#N/A</v>
      </c>
      <c r="H217" s="14" t="e">
        <v>#N/A</v>
      </c>
      <c r="J217" s="13" t="e">
        <v>#N/A</v>
      </c>
      <c r="K217" s="13" t="e">
        <v>#N/A</v>
      </c>
      <c r="L217" s="14" t="e">
        <v>#N/A</v>
      </c>
      <c r="M217" s="14" t="e">
        <v>#N/A</v>
      </c>
    </row>
    <row r="218" spans="5:13">
      <c r="E218" s="13" t="e">
        <v>#N/A</v>
      </c>
      <c r="F218" s="13" t="e">
        <v>#N/A</v>
      </c>
      <c r="G218" s="14" t="e">
        <v>#N/A</v>
      </c>
      <c r="H218" s="14" t="e">
        <v>#N/A</v>
      </c>
      <c r="J218" s="13" t="e">
        <v>#N/A</v>
      </c>
      <c r="K218" s="13" t="e">
        <v>#N/A</v>
      </c>
      <c r="L218" s="14" t="e">
        <v>#N/A</v>
      </c>
      <c r="M218" s="14" t="e">
        <v>#N/A</v>
      </c>
    </row>
    <row r="219" spans="5:13">
      <c r="E219" s="13" t="e">
        <v>#N/A</v>
      </c>
      <c r="F219" s="13" t="e">
        <v>#N/A</v>
      </c>
      <c r="G219" s="14" t="e">
        <v>#N/A</v>
      </c>
      <c r="H219" s="14" t="e">
        <v>#N/A</v>
      </c>
      <c r="J219" s="13" t="e">
        <v>#N/A</v>
      </c>
      <c r="K219" s="13" t="e">
        <v>#N/A</v>
      </c>
      <c r="L219" s="14" t="e">
        <v>#N/A</v>
      </c>
      <c r="M219" s="14" t="e">
        <v>#N/A</v>
      </c>
    </row>
    <row r="220" spans="5:13">
      <c r="E220" s="13" t="e">
        <v>#N/A</v>
      </c>
      <c r="F220" s="13" t="e">
        <v>#N/A</v>
      </c>
      <c r="G220" s="14" t="e">
        <v>#N/A</v>
      </c>
      <c r="H220" s="14" t="e">
        <v>#N/A</v>
      </c>
      <c r="J220" s="13" t="e">
        <v>#N/A</v>
      </c>
      <c r="K220" s="13" t="e">
        <v>#N/A</v>
      </c>
      <c r="L220" s="14" t="e">
        <v>#N/A</v>
      </c>
      <c r="M220" s="14" t="e">
        <v>#N/A</v>
      </c>
    </row>
    <row r="221" spans="5:13">
      <c r="E221" s="13" t="e">
        <v>#N/A</v>
      </c>
      <c r="F221" s="13" t="e">
        <v>#N/A</v>
      </c>
      <c r="G221" s="14" t="e">
        <v>#N/A</v>
      </c>
      <c r="H221" s="14" t="e">
        <v>#N/A</v>
      </c>
      <c r="J221" s="13" t="e">
        <v>#N/A</v>
      </c>
      <c r="K221" s="13" t="e">
        <v>#N/A</v>
      </c>
      <c r="L221" s="14" t="e">
        <v>#N/A</v>
      </c>
      <c r="M221" s="14" t="e">
        <v>#N/A</v>
      </c>
    </row>
    <row r="222" spans="5:13">
      <c r="E222" s="13" t="e">
        <v>#N/A</v>
      </c>
      <c r="F222" s="13" t="e">
        <v>#N/A</v>
      </c>
      <c r="G222" s="14" t="e">
        <v>#N/A</v>
      </c>
      <c r="H222" s="14" t="e">
        <v>#N/A</v>
      </c>
      <c r="J222" s="13" t="e">
        <v>#N/A</v>
      </c>
      <c r="K222" s="13" t="e">
        <v>#N/A</v>
      </c>
      <c r="L222" s="14" t="e">
        <v>#N/A</v>
      </c>
      <c r="M222" s="14" t="e">
        <v>#N/A</v>
      </c>
    </row>
    <row r="223" spans="5:13">
      <c r="E223" s="13" t="e">
        <v>#N/A</v>
      </c>
      <c r="F223" s="13" t="e">
        <v>#N/A</v>
      </c>
      <c r="G223" s="14" t="e">
        <v>#N/A</v>
      </c>
      <c r="H223" s="14" t="e">
        <v>#N/A</v>
      </c>
      <c r="J223" s="13" t="e">
        <v>#N/A</v>
      </c>
      <c r="K223" s="13" t="e">
        <v>#N/A</v>
      </c>
      <c r="L223" s="14" t="e">
        <v>#N/A</v>
      </c>
      <c r="M223" s="14" t="e">
        <v>#N/A</v>
      </c>
    </row>
    <row r="224" spans="5:13">
      <c r="E224" s="13" t="e">
        <v>#N/A</v>
      </c>
      <c r="F224" s="13" t="e">
        <v>#N/A</v>
      </c>
      <c r="G224" s="14" t="e">
        <v>#N/A</v>
      </c>
      <c r="H224" s="14" t="e">
        <v>#N/A</v>
      </c>
      <c r="J224" s="13" t="e">
        <v>#N/A</v>
      </c>
      <c r="K224" s="13" t="e">
        <v>#N/A</v>
      </c>
      <c r="L224" s="14" t="e">
        <v>#N/A</v>
      </c>
      <c r="M224" s="14" t="e">
        <v>#N/A</v>
      </c>
    </row>
    <row r="225" spans="5:13">
      <c r="E225" s="13" t="e">
        <v>#N/A</v>
      </c>
      <c r="F225" s="13" t="e">
        <v>#N/A</v>
      </c>
      <c r="G225" s="14" t="e">
        <v>#N/A</v>
      </c>
      <c r="H225" s="14" t="e">
        <v>#N/A</v>
      </c>
      <c r="J225" s="13" t="e">
        <v>#N/A</v>
      </c>
      <c r="K225" s="13" t="e">
        <v>#N/A</v>
      </c>
      <c r="L225" s="14" t="e">
        <v>#N/A</v>
      </c>
      <c r="M225" s="14" t="e">
        <v>#N/A</v>
      </c>
    </row>
    <row r="226" spans="5:13">
      <c r="E226" s="13" t="e">
        <v>#N/A</v>
      </c>
      <c r="F226" s="13" t="e">
        <v>#N/A</v>
      </c>
      <c r="G226" s="14" t="e">
        <v>#N/A</v>
      </c>
      <c r="H226" s="14" t="e">
        <v>#N/A</v>
      </c>
      <c r="J226" s="13" t="e">
        <v>#N/A</v>
      </c>
      <c r="K226" s="13" t="e">
        <v>#N/A</v>
      </c>
      <c r="L226" s="14" t="e">
        <v>#N/A</v>
      </c>
      <c r="M226" s="14" t="e">
        <v>#N/A</v>
      </c>
    </row>
    <row r="227" spans="5:13">
      <c r="E227" s="13" t="e">
        <v>#N/A</v>
      </c>
      <c r="F227" s="13" t="e">
        <v>#N/A</v>
      </c>
      <c r="G227" s="14" t="e">
        <v>#N/A</v>
      </c>
      <c r="H227" s="14" t="e">
        <v>#N/A</v>
      </c>
      <c r="J227" s="13" t="e">
        <v>#N/A</v>
      </c>
      <c r="K227" s="13" t="e">
        <v>#N/A</v>
      </c>
      <c r="L227" s="14" t="e">
        <v>#N/A</v>
      </c>
      <c r="M227" s="14" t="e">
        <v>#N/A</v>
      </c>
    </row>
    <row r="228" spans="5:13">
      <c r="E228" s="13" t="e">
        <v>#N/A</v>
      </c>
      <c r="F228" s="13" t="e">
        <v>#N/A</v>
      </c>
      <c r="G228" s="14" t="e">
        <v>#N/A</v>
      </c>
      <c r="H228" s="14" t="e">
        <v>#N/A</v>
      </c>
      <c r="J228" s="13" t="e">
        <v>#N/A</v>
      </c>
      <c r="K228" s="13" t="e">
        <v>#N/A</v>
      </c>
      <c r="L228" s="14" t="e">
        <v>#N/A</v>
      </c>
      <c r="M228" s="14" t="e">
        <v>#N/A</v>
      </c>
    </row>
    <row r="229" spans="5:13">
      <c r="E229" s="13" t="e">
        <v>#N/A</v>
      </c>
      <c r="F229" s="13" t="e">
        <v>#N/A</v>
      </c>
      <c r="G229" s="14" t="e">
        <v>#N/A</v>
      </c>
      <c r="H229" s="14" t="e">
        <v>#N/A</v>
      </c>
      <c r="J229" s="13" t="e">
        <v>#N/A</v>
      </c>
      <c r="K229" s="13" t="e">
        <v>#N/A</v>
      </c>
      <c r="L229" s="14" t="e">
        <v>#N/A</v>
      </c>
      <c r="M229" s="14" t="e">
        <v>#N/A</v>
      </c>
    </row>
    <row r="230" spans="5:13">
      <c r="E230" s="13" t="e">
        <v>#N/A</v>
      </c>
      <c r="F230" s="13" t="e">
        <v>#N/A</v>
      </c>
      <c r="G230" s="14" t="e">
        <v>#N/A</v>
      </c>
      <c r="H230" s="14" t="e">
        <v>#N/A</v>
      </c>
      <c r="J230" s="13" t="e">
        <v>#N/A</v>
      </c>
      <c r="K230" s="13" t="e">
        <v>#N/A</v>
      </c>
      <c r="L230" s="14" t="e">
        <v>#N/A</v>
      </c>
      <c r="M230" s="14" t="e">
        <v>#N/A</v>
      </c>
    </row>
    <row r="231" spans="5:13">
      <c r="E231" s="13" t="e">
        <v>#N/A</v>
      </c>
      <c r="F231" s="13" t="e">
        <v>#N/A</v>
      </c>
      <c r="G231" s="14" t="e">
        <v>#N/A</v>
      </c>
      <c r="H231" s="14" t="e">
        <v>#N/A</v>
      </c>
      <c r="J231" s="13" t="e">
        <v>#N/A</v>
      </c>
      <c r="K231" s="13" t="e">
        <v>#N/A</v>
      </c>
      <c r="L231" s="14" t="e">
        <v>#N/A</v>
      </c>
      <c r="M231" s="14" t="e">
        <v>#N/A</v>
      </c>
    </row>
    <row r="232" spans="5:13">
      <c r="E232" s="13" t="e">
        <v>#N/A</v>
      </c>
      <c r="F232" s="13" t="e">
        <v>#N/A</v>
      </c>
      <c r="G232" s="14" t="e">
        <v>#N/A</v>
      </c>
      <c r="H232" s="14" t="e">
        <v>#N/A</v>
      </c>
      <c r="J232" s="13" t="e">
        <v>#N/A</v>
      </c>
      <c r="K232" s="13" t="e">
        <v>#N/A</v>
      </c>
      <c r="L232" s="14" t="e">
        <v>#N/A</v>
      </c>
      <c r="M232" s="14" t="e">
        <v>#N/A</v>
      </c>
    </row>
    <row r="233" spans="5:13">
      <c r="E233" s="13" t="e">
        <v>#N/A</v>
      </c>
      <c r="F233" s="13" t="e">
        <v>#N/A</v>
      </c>
      <c r="G233" s="14" t="e">
        <v>#N/A</v>
      </c>
      <c r="H233" s="14" t="e">
        <v>#N/A</v>
      </c>
      <c r="J233" s="13" t="e">
        <v>#N/A</v>
      </c>
      <c r="K233" s="13" t="e">
        <v>#N/A</v>
      </c>
      <c r="L233" s="14" t="e">
        <v>#N/A</v>
      </c>
      <c r="M233" s="14" t="e">
        <v>#N/A</v>
      </c>
    </row>
    <row r="234" spans="5:13">
      <c r="E234" s="13" t="e">
        <v>#N/A</v>
      </c>
      <c r="F234" s="13" t="e">
        <v>#N/A</v>
      </c>
      <c r="G234" s="14" t="e">
        <v>#N/A</v>
      </c>
      <c r="H234" s="14" t="e">
        <v>#N/A</v>
      </c>
      <c r="J234" s="13" t="e">
        <v>#N/A</v>
      </c>
      <c r="K234" s="13" t="e">
        <v>#N/A</v>
      </c>
      <c r="L234" s="14" t="e">
        <v>#N/A</v>
      </c>
      <c r="M234" s="14" t="e">
        <v>#N/A</v>
      </c>
    </row>
    <row r="235" spans="5:13">
      <c r="E235" s="13" t="e">
        <v>#N/A</v>
      </c>
      <c r="F235" s="13" t="e">
        <v>#N/A</v>
      </c>
      <c r="G235" s="14" t="e">
        <v>#N/A</v>
      </c>
      <c r="H235" s="14" t="e">
        <v>#N/A</v>
      </c>
      <c r="J235" s="13" t="e">
        <v>#N/A</v>
      </c>
      <c r="K235" s="13" t="e">
        <v>#N/A</v>
      </c>
      <c r="L235" s="14" t="e">
        <v>#N/A</v>
      </c>
      <c r="M235" s="14" t="e">
        <v>#N/A</v>
      </c>
    </row>
    <row r="236" spans="5:13">
      <c r="E236" s="13" t="e">
        <v>#N/A</v>
      </c>
      <c r="F236" s="13" t="e">
        <v>#N/A</v>
      </c>
      <c r="G236" s="14" t="e">
        <v>#N/A</v>
      </c>
      <c r="H236" s="14" t="e">
        <v>#N/A</v>
      </c>
      <c r="J236" s="13" t="e">
        <v>#N/A</v>
      </c>
      <c r="K236" s="13" t="e">
        <v>#N/A</v>
      </c>
      <c r="L236" s="14" t="e">
        <v>#N/A</v>
      </c>
      <c r="M236" s="14" t="e">
        <v>#N/A</v>
      </c>
    </row>
    <row r="237" spans="5:13">
      <c r="E237" s="13" t="e">
        <v>#N/A</v>
      </c>
      <c r="F237" s="13" t="e">
        <v>#N/A</v>
      </c>
      <c r="G237" s="14" t="e">
        <v>#N/A</v>
      </c>
      <c r="H237" s="14" t="e">
        <v>#N/A</v>
      </c>
      <c r="J237" s="13" t="e">
        <v>#N/A</v>
      </c>
      <c r="K237" s="13" t="e">
        <v>#N/A</v>
      </c>
      <c r="L237" s="14" t="e">
        <v>#N/A</v>
      </c>
      <c r="M237" s="14" t="e">
        <v>#N/A</v>
      </c>
    </row>
    <row r="238" spans="5:13">
      <c r="E238" s="13" t="e">
        <v>#N/A</v>
      </c>
      <c r="F238" s="13" t="e">
        <v>#N/A</v>
      </c>
      <c r="G238" s="14" t="e">
        <v>#N/A</v>
      </c>
      <c r="H238" s="14" t="e">
        <v>#N/A</v>
      </c>
      <c r="J238" s="13" t="e">
        <v>#N/A</v>
      </c>
      <c r="K238" s="13" t="e">
        <v>#N/A</v>
      </c>
      <c r="L238" s="14" t="e">
        <v>#N/A</v>
      </c>
      <c r="M238" s="14" t="e">
        <v>#N/A</v>
      </c>
    </row>
    <row r="239" spans="5:13">
      <c r="E239" s="13" t="e">
        <v>#N/A</v>
      </c>
      <c r="F239" s="13" t="e">
        <v>#N/A</v>
      </c>
      <c r="G239" s="14" t="e">
        <v>#N/A</v>
      </c>
      <c r="H239" s="14" t="e">
        <v>#N/A</v>
      </c>
      <c r="J239" s="13" t="e">
        <v>#N/A</v>
      </c>
      <c r="K239" s="13" t="e">
        <v>#N/A</v>
      </c>
      <c r="L239" s="14" t="e">
        <v>#N/A</v>
      </c>
      <c r="M239" s="14" t="e">
        <v>#N/A</v>
      </c>
    </row>
    <row r="240" spans="5:13">
      <c r="E240" s="13" t="e">
        <v>#N/A</v>
      </c>
      <c r="F240" s="13" t="e">
        <v>#N/A</v>
      </c>
      <c r="G240" s="14" t="e">
        <v>#N/A</v>
      </c>
      <c r="H240" s="14" t="e">
        <v>#N/A</v>
      </c>
      <c r="J240" s="13" t="e">
        <v>#N/A</v>
      </c>
      <c r="K240" s="13" t="e">
        <v>#N/A</v>
      </c>
      <c r="L240" s="14" t="e">
        <v>#N/A</v>
      </c>
      <c r="M240" s="14" t="e">
        <v>#N/A</v>
      </c>
    </row>
    <row r="241" spans="5:13">
      <c r="E241" s="13" t="e">
        <v>#N/A</v>
      </c>
      <c r="F241" s="13" t="e">
        <v>#N/A</v>
      </c>
      <c r="G241" s="14" t="e">
        <v>#N/A</v>
      </c>
      <c r="H241" s="14" t="e">
        <v>#N/A</v>
      </c>
      <c r="J241" s="13" t="e">
        <v>#N/A</v>
      </c>
      <c r="K241" s="13" t="e">
        <v>#N/A</v>
      </c>
      <c r="L241" s="14" t="e">
        <v>#N/A</v>
      </c>
      <c r="M241" s="14" t="e">
        <v>#N/A</v>
      </c>
    </row>
    <row r="242" spans="5:13">
      <c r="E242" s="13" t="e">
        <v>#N/A</v>
      </c>
      <c r="F242" s="13" t="e">
        <v>#N/A</v>
      </c>
      <c r="G242" s="14" t="e">
        <v>#N/A</v>
      </c>
      <c r="H242" s="14" t="e">
        <v>#N/A</v>
      </c>
      <c r="J242" s="13" t="e">
        <v>#N/A</v>
      </c>
      <c r="K242" s="13" t="e">
        <v>#N/A</v>
      </c>
      <c r="L242" s="14" t="e">
        <v>#N/A</v>
      </c>
      <c r="M242" s="14" t="e">
        <v>#N/A</v>
      </c>
    </row>
    <row r="243" spans="5:13">
      <c r="E243" s="13" t="e">
        <v>#N/A</v>
      </c>
      <c r="F243" s="13" t="e">
        <v>#N/A</v>
      </c>
      <c r="G243" s="14" t="e">
        <v>#N/A</v>
      </c>
      <c r="H243" s="14" t="e">
        <v>#N/A</v>
      </c>
      <c r="J243" s="13" t="e">
        <v>#N/A</v>
      </c>
      <c r="K243" s="13" t="e">
        <v>#N/A</v>
      </c>
      <c r="L243" s="14" t="e">
        <v>#N/A</v>
      </c>
      <c r="M243" s="14" t="e">
        <v>#N/A</v>
      </c>
    </row>
    <row r="244" spans="5:13">
      <c r="E244" s="13" t="e">
        <v>#N/A</v>
      </c>
      <c r="F244" s="13" t="e">
        <v>#N/A</v>
      </c>
      <c r="G244" s="14" t="e">
        <v>#N/A</v>
      </c>
      <c r="H244" s="14" t="e">
        <v>#N/A</v>
      </c>
      <c r="J244" s="13" t="e">
        <v>#N/A</v>
      </c>
      <c r="K244" s="13" t="e">
        <v>#N/A</v>
      </c>
      <c r="L244" s="14" t="e">
        <v>#N/A</v>
      </c>
      <c r="M244" s="14" t="e">
        <v>#N/A</v>
      </c>
    </row>
    <row r="245" spans="5:13">
      <c r="E245" s="13" t="e">
        <v>#N/A</v>
      </c>
      <c r="F245" s="13" t="e">
        <v>#N/A</v>
      </c>
      <c r="G245" s="14" t="e">
        <v>#N/A</v>
      </c>
      <c r="H245" s="14" t="e">
        <v>#N/A</v>
      </c>
      <c r="J245" s="13" t="e">
        <v>#N/A</v>
      </c>
      <c r="K245" s="13" t="e">
        <v>#N/A</v>
      </c>
      <c r="L245" s="14" t="e">
        <v>#N/A</v>
      </c>
      <c r="M245" s="14" t="e">
        <v>#N/A</v>
      </c>
    </row>
    <row r="246" spans="5:13">
      <c r="E246" s="13" t="e">
        <v>#N/A</v>
      </c>
      <c r="F246" s="13" t="e">
        <v>#N/A</v>
      </c>
      <c r="G246" s="14" t="e">
        <v>#N/A</v>
      </c>
      <c r="H246" s="14" t="e">
        <v>#N/A</v>
      </c>
      <c r="J246" s="13" t="e">
        <v>#N/A</v>
      </c>
      <c r="K246" s="13" t="e">
        <v>#N/A</v>
      </c>
      <c r="L246" s="14" t="e">
        <v>#N/A</v>
      </c>
      <c r="M246" s="14" t="e">
        <v>#N/A</v>
      </c>
    </row>
    <row r="247" spans="5:13">
      <c r="E247" s="13" t="e">
        <v>#N/A</v>
      </c>
      <c r="F247" s="13" t="e">
        <v>#N/A</v>
      </c>
      <c r="G247" s="14" t="e">
        <v>#N/A</v>
      </c>
      <c r="H247" s="14" t="e">
        <v>#N/A</v>
      </c>
      <c r="J247" s="13" t="e">
        <v>#N/A</v>
      </c>
      <c r="K247" s="13" t="e">
        <v>#N/A</v>
      </c>
      <c r="L247" s="14" t="e">
        <v>#N/A</v>
      </c>
      <c r="M247" s="14" t="e">
        <v>#N/A</v>
      </c>
    </row>
    <row r="248" spans="5:13">
      <c r="E248" s="13" t="e">
        <v>#N/A</v>
      </c>
      <c r="F248" s="13" t="e">
        <v>#N/A</v>
      </c>
      <c r="G248" s="14" t="e">
        <v>#N/A</v>
      </c>
      <c r="H248" s="14" t="e">
        <v>#N/A</v>
      </c>
      <c r="J248" s="13" t="e">
        <v>#N/A</v>
      </c>
      <c r="K248" s="13" t="e">
        <v>#N/A</v>
      </c>
      <c r="L248" s="14" t="e">
        <v>#N/A</v>
      </c>
      <c r="M248" s="14" t="e">
        <v>#N/A</v>
      </c>
    </row>
    <row r="249" spans="5:13">
      <c r="E249" s="13" t="e">
        <v>#N/A</v>
      </c>
      <c r="F249" s="13" t="e">
        <v>#N/A</v>
      </c>
      <c r="G249" s="14" t="e">
        <v>#N/A</v>
      </c>
      <c r="H249" s="14" t="e">
        <v>#N/A</v>
      </c>
      <c r="J249" s="13" t="e">
        <v>#N/A</v>
      </c>
      <c r="K249" s="13" t="e">
        <v>#N/A</v>
      </c>
      <c r="L249" s="14" t="e">
        <v>#N/A</v>
      </c>
      <c r="M249" s="14" t="e">
        <v>#N/A</v>
      </c>
    </row>
    <row r="250" spans="5:13">
      <c r="E250" s="13" t="e">
        <v>#N/A</v>
      </c>
      <c r="F250" s="13" t="e">
        <v>#N/A</v>
      </c>
      <c r="G250" s="14" t="e">
        <v>#N/A</v>
      </c>
      <c r="H250" s="14" t="e">
        <v>#N/A</v>
      </c>
      <c r="J250" s="13" t="e">
        <v>#N/A</v>
      </c>
      <c r="K250" s="13" t="e">
        <v>#N/A</v>
      </c>
      <c r="L250" s="14" t="e">
        <v>#N/A</v>
      </c>
      <c r="M250" s="14" t="e">
        <v>#N/A</v>
      </c>
    </row>
    <row r="251" spans="5:13">
      <c r="E251" s="13" t="e">
        <v>#N/A</v>
      </c>
      <c r="F251" s="13" t="e">
        <v>#N/A</v>
      </c>
      <c r="G251" s="14" t="e">
        <v>#N/A</v>
      </c>
      <c r="H251" s="14" t="e">
        <v>#N/A</v>
      </c>
      <c r="J251" s="13" t="e">
        <v>#N/A</v>
      </c>
      <c r="K251" s="13" t="e">
        <v>#N/A</v>
      </c>
      <c r="L251" s="14" t="e">
        <v>#N/A</v>
      </c>
      <c r="M251" s="14" t="e">
        <v>#N/A</v>
      </c>
    </row>
    <row r="252" spans="5:13">
      <c r="E252" s="13" t="e">
        <v>#N/A</v>
      </c>
      <c r="F252" s="13" t="e">
        <v>#N/A</v>
      </c>
      <c r="G252" s="14" t="e">
        <v>#N/A</v>
      </c>
      <c r="H252" s="14" t="e">
        <v>#N/A</v>
      </c>
      <c r="J252" s="13" t="e">
        <v>#N/A</v>
      </c>
      <c r="K252" s="13" t="e">
        <v>#N/A</v>
      </c>
      <c r="L252" s="14" t="e">
        <v>#N/A</v>
      </c>
      <c r="M252" s="14" t="e">
        <v>#N/A</v>
      </c>
    </row>
    <row r="253" spans="5:13">
      <c r="E253" s="13" t="e">
        <v>#N/A</v>
      </c>
      <c r="F253" s="13" t="e">
        <v>#N/A</v>
      </c>
      <c r="G253" s="14" t="e">
        <v>#N/A</v>
      </c>
      <c r="H253" s="14" t="e">
        <v>#N/A</v>
      </c>
      <c r="J253" s="13" t="e">
        <v>#N/A</v>
      </c>
      <c r="K253" s="13" t="e">
        <v>#N/A</v>
      </c>
      <c r="L253" s="14" t="e">
        <v>#N/A</v>
      </c>
      <c r="M253" s="14" t="e">
        <v>#N/A</v>
      </c>
    </row>
    <row r="254" spans="5:13">
      <c r="E254" s="13" t="e">
        <v>#N/A</v>
      </c>
      <c r="F254" s="13" t="e">
        <v>#N/A</v>
      </c>
      <c r="G254" s="14" t="e">
        <v>#N/A</v>
      </c>
      <c r="H254" s="14" t="e">
        <v>#N/A</v>
      </c>
      <c r="J254" s="13" t="e">
        <v>#N/A</v>
      </c>
      <c r="K254" s="13" t="e">
        <v>#N/A</v>
      </c>
      <c r="L254" s="14" t="e">
        <v>#N/A</v>
      </c>
      <c r="M254" s="14" t="e">
        <v>#N/A</v>
      </c>
    </row>
    <row r="255" spans="5:13">
      <c r="E255" s="13" t="e">
        <v>#N/A</v>
      </c>
      <c r="F255" s="13" t="e">
        <v>#N/A</v>
      </c>
      <c r="G255" s="14" t="e">
        <v>#N/A</v>
      </c>
      <c r="H255" s="14" t="e">
        <v>#N/A</v>
      </c>
      <c r="J255" s="13" t="e">
        <v>#N/A</v>
      </c>
      <c r="K255" s="13" t="e">
        <v>#N/A</v>
      </c>
      <c r="L255" s="14" t="e">
        <v>#N/A</v>
      </c>
      <c r="M255" s="14" t="e">
        <v>#N/A</v>
      </c>
    </row>
    <row r="256" spans="5:13">
      <c r="E256" s="13" t="e">
        <v>#N/A</v>
      </c>
      <c r="F256" s="13" t="e">
        <v>#N/A</v>
      </c>
      <c r="G256" s="14" t="e">
        <v>#N/A</v>
      </c>
      <c r="H256" s="14" t="e">
        <v>#N/A</v>
      </c>
      <c r="J256" s="13" t="e">
        <v>#N/A</v>
      </c>
      <c r="K256" s="13" t="e">
        <v>#N/A</v>
      </c>
      <c r="L256" s="14" t="e">
        <v>#N/A</v>
      </c>
      <c r="M256" s="14" t="e">
        <v>#N/A</v>
      </c>
    </row>
    <row r="257" spans="5:13">
      <c r="E257" s="13" t="e">
        <v>#N/A</v>
      </c>
      <c r="F257" s="13" t="e">
        <v>#N/A</v>
      </c>
      <c r="G257" s="14" t="e">
        <v>#N/A</v>
      </c>
      <c r="H257" s="14" t="e">
        <v>#N/A</v>
      </c>
      <c r="J257" s="13" t="e">
        <v>#N/A</v>
      </c>
      <c r="K257" s="13" t="e">
        <v>#N/A</v>
      </c>
      <c r="L257" s="14" t="e">
        <v>#N/A</v>
      </c>
      <c r="M257" s="14" t="e">
        <v>#N/A</v>
      </c>
    </row>
    <row r="258" spans="5:13">
      <c r="E258" s="13" t="e">
        <v>#N/A</v>
      </c>
      <c r="F258" s="13" t="e">
        <v>#N/A</v>
      </c>
      <c r="G258" s="14" t="e">
        <v>#N/A</v>
      </c>
      <c r="H258" s="14" t="e">
        <v>#N/A</v>
      </c>
      <c r="J258" s="13" t="e">
        <v>#N/A</v>
      </c>
      <c r="K258" s="13" t="e">
        <v>#N/A</v>
      </c>
      <c r="L258" s="14" t="e">
        <v>#N/A</v>
      </c>
      <c r="M258" s="14" t="e">
        <v>#N/A</v>
      </c>
    </row>
    <row r="259" spans="5:13">
      <c r="E259" s="13" t="e">
        <v>#N/A</v>
      </c>
      <c r="F259" s="13" t="e">
        <v>#N/A</v>
      </c>
      <c r="G259" s="14" t="e">
        <v>#N/A</v>
      </c>
      <c r="H259" s="14" t="e">
        <v>#N/A</v>
      </c>
      <c r="J259" s="13" t="e">
        <v>#N/A</v>
      </c>
      <c r="K259" s="13" t="e">
        <v>#N/A</v>
      </c>
      <c r="L259" s="14" t="e">
        <v>#N/A</v>
      </c>
      <c r="M259" s="14" t="e">
        <v>#N/A</v>
      </c>
    </row>
    <row r="260" spans="5:13">
      <c r="E260" s="13" t="e">
        <v>#N/A</v>
      </c>
      <c r="F260" s="13" t="e">
        <v>#N/A</v>
      </c>
      <c r="G260" s="14" t="e">
        <v>#N/A</v>
      </c>
      <c r="H260" s="14" t="e">
        <v>#N/A</v>
      </c>
      <c r="J260" s="13" t="e">
        <v>#N/A</v>
      </c>
      <c r="K260" s="13" t="e">
        <v>#N/A</v>
      </c>
      <c r="L260" s="14" t="e">
        <v>#N/A</v>
      </c>
      <c r="M260" s="14" t="e">
        <v>#N/A</v>
      </c>
    </row>
    <row r="261" spans="5:13">
      <c r="E261" s="13" t="e">
        <v>#N/A</v>
      </c>
      <c r="F261" s="13" t="e">
        <v>#N/A</v>
      </c>
      <c r="G261" s="14" t="e">
        <v>#N/A</v>
      </c>
      <c r="H261" s="14" t="e">
        <v>#N/A</v>
      </c>
      <c r="J261" s="13" t="e">
        <v>#N/A</v>
      </c>
      <c r="K261" s="13" t="e">
        <v>#N/A</v>
      </c>
      <c r="L261" s="14" t="e">
        <v>#N/A</v>
      </c>
      <c r="M261" s="14" t="e">
        <v>#N/A</v>
      </c>
    </row>
    <row r="262" spans="5:13">
      <c r="E262" s="13" t="e">
        <v>#N/A</v>
      </c>
      <c r="F262" s="13" t="e">
        <v>#N/A</v>
      </c>
      <c r="G262" s="14" t="e">
        <v>#N/A</v>
      </c>
      <c r="H262" s="14" t="e">
        <v>#N/A</v>
      </c>
      <c r="J262" s="13" t="e">
        <v>#N/A</v>
      </c>
      <c r="K262" s="13" t="e">
        <v>#N/A</v>
      </c>
      <c r="L262" s="14" t="e">
        <v>#N/A</v>
      </c>
      <c r="M262" s="14" t="e">
        <v>#N/A</v>
      </c>
    </row>
    <row r="263" spans="5:13">
      <c r="E263" s="13" t="e">
        <v>#N/A</v>
      </c>
      <c r="F263" s="13" t="e">
        <v>#N/A</v>
      </c>
      <c r="G263" s="14" t="e">
        <v>#N/A</v>
      </c>
      <c r="H263" s="14" t="e">
        <v>#N/A</v>
      </c>
      <c r="J263" s="13" t="e">
        <v>#N/A</v>
      </c>
      <c r="K263" s="13" t="e">
        <v>#N/A</v>
      </c>
      <c r="L263" s="14" t="e">
        <v>#N/A</v>
      </c>
      <c r="M263" s="14" t="e">
        <v>#N/A</v>
      </c>
    </row>
    <row r="264" spans="5:13">
      <c r="E264" s="13" t="e">
        <v>#N/A</v>
      </c>
      <c r="F264" s="13" t="e">
        <v>#N/A</v>
      </c>
      <c r="G264" s="14" t="e">
        <v>#N/A</v>
      </c>
      <c r="H264" s="14" t="e">
        <v>#N/A</v>
      </c>
      <c r="J264" s="13" t="e">
        <v>#N/A</v>
      </c>
      <c r="K264" s="13" t="e">
        <v>#N/A</v>
      </c>
      <c r="L264" s="14" t="e">
        <v>#N/A</v>
      </c>
      <c r="M264" s="14" t="e">
        <v>#N/A</v>
      </c>
    </row>
    <row r="265" spans="5:13">
      <c r="E265" s="13" t="e">
        <v>#N/A</v>
      </c>
      <c r="F265" s="13" t="e">
        <v>#N/A</v>
      </c>
      <c r="G265" s="14" t="e">
        <v>#N/A</v>
      </c>
      <c r="H265" s="14" t="e">
        <v>#N/A</v>
      </c>
      <c r="J265" s="13" t="e">
        <v>#N/A</v>
      </c>
      <c r="K265" s="13" t="e">
        <v>#N/A</v>
      </c>
      <c r="L265" s="14" t="e">
        <v>#N/A</v>
      </c>
      <c r="M265" s="14" t="e">
        <v>#N/A</v>
      </c>
    </row>
    <row r="266" spans="5:13">
      <c r="E266" s="13" t="e">
        <v>#N/A</v>
      </c>
      <c r="F266" s="13" t="e">
        <v>#N/A</v>
      </c>
      <c r="G266" s="14" t="e">
        <v>#N/A</v>
      </c>
      <c r="H266" s="14" t="e">
        <v>#N/A</v>
      </c>
      <c r="J266" s="13" t="e">
        <v>#N/A</v>
      </c>
      <c r="K266" s="13" t="e">
        <v>#N/A</v>
      </c>
      <c r="L266" s="14" t="e">
        <v>#N/A</v>
      </c>
      <c r="M266" s="14" t="e">
        <v>#N/A</v>
      </c>
    </row>
    <row r="267" spans="5:13">
      <c r="E267" s="13" t="e">
        <v>#N/A</v>
      </c>
      <c r="F267" s="13" t="e">
        <v>#N/A</v>
      </c>
      <c r="G267" s="14" t="e">
        <v>#N/A</v>
      </c>
      <c r="H267" s="14" t="e">
        <v>#N/A</v>
      </c>
      <c r="J267" s="13" t="e">
        <v>#N/A</v>
      </c>
      <c r="K267" s="13" t="e">
        <v>#N/A</v>
      </c>
      <c r="L267" s="14" t="e">
        <v>#N/A</v>
      </c>
      <c r="M267" s="14" t="e">
        <v>#N/A</v>
      </c>
    </row>
    <row r="268" spans="5:13">
      <c r="E268" s="13" t="e">
        <v>#N/A</v>
      </c>
      <c r="F268" s="13" t="e">
        <v>#N/A</v>
      </c>
      <c r="G268" s="14" t="e">
        <v>#N/A</v>
      </c>
      <c r="H268" s="14" t="e">
        <v>#N/A</v>
      </c>
      <c r="J268" s="13" t="e">
        <v>#N/A</v>
      </c>
      <c r="K268" s="13" t="e">
        <v>#N/A</v>
      </c>
      <c r="L268" s="14" t="e">
        <v>#N/A</v>
      </c>
      <c r="M268" s="14" t="e">
        <v>#N/A</v>
      </c>
    </row>
    <row r="269" spans="5:13">
      <c r="E269" s="13" t="e">
        <v>#N/A</v>
      </c>
      <c r="F269" s="13" t="e">
        <v>#N/A</v>
      </c>
      <c r="G269" s="14" t="e">
        <v>#N/A</v>
      </c>
      <c r="H269" s="14" t="e">
        <v>#N/A</v>
      </c>
      <c r="J269" s="13" t="e">
        <v>#N/A</v>
      </c>
      <c r="K269" s="13" t="e">
        <v>#N/A</v>
      </c>
      <c r="L269" s="14" t="e">
        <v>#N/A</v>
      </c>
      <c r="M269" s="14" t="e">
        <v>#N/A</v>
      </c>
    </row>
    <row r="270" spans="5:13">
      <c r="E270" s="13" t="e">
        <v>#N/A</v>
      </c>
      <c r="F270" s="13" t="e">
        <v>#N/A</v>
      </c>
      <c r="G270" s="14" t="e">
        <v>#N/A</v>
      </c>
      <c r="H270" s="14" t="e">
        <v>#N/A</v>
      </c>
      <c r="J270" s="13" t="e">
        <v>#N/A</v>
      </c>
      <c r="K270" s="13" t="e">
        <v>#N/A</v>
      </c>
      <c r="L270" s="14" t="e">
        <v>#N/A</v>
      </c>
      <c r="M270" s="14" t="e">
        <v>#N/A</v>
      </c>
    </row>
    <row r="271" spans="5:13">
      <c r="E271" s="13" t="e">
        <v>#N/A</v>
      </c>
      <c r="F271" s="13" t="e">
        <v>#N/A</v>
      </c>
      <c r="G271" s="14" t="e">
        <v>#N/A</v>
      </c>
      <c r="H271" s="14" t="e">
        <v>#N/A</v>
      </c>
      <c r="J271" s="13" t="e">
        <v>#N/A</v>
      </c>
      <c r="K271" s="13" t="e">
        <v>#N/A</v>
      </c>
      <c r="L271" s="14" t="e">
        <v>#N/A</v>
      </c>
      <c r="M271" s="14" t="e">
        <v>#N/A</v>
      </c>
    </row>
    <row r="272" spans="5:13">
      <c r="E272" s="13" t="e">
        <v>#N/A</v>
      </c>
      <c r="F272" s="13" t="e">
        <v>#N/A</v>
      </c>
      <c r="G272" s="14" t="e">
        <v>#N/A</v>
      </c>
      <c r="H272" s="14" t="e">
        <v>#N/A</v>
      </c>
      <c r="J272" s="13" t="e">
        <v>#N/A</v>
      </c>
      <c r="K272" s="13" t="e">
        <v>#N/A</v>
      </c>
      <c r="L272" s="14" t="e">
        <v>#N/A</v>
      </c>
      <c r="M272" s="14" t="e">
        <v>#N/A</v>
      </c>
    </row>
    <row r="273" spans="5:13">
      <c r="E273" s="13" t="e">
        <v>#N/A</v>
      </c>
      <c r="F273" s="13" t="e">
        <v>#N/A</v>
      </c>
      <c r="G273" s="14" t="e">
        <v>#N/A</v>
      </c>
      <c r="H273" s="14" t="e">
        <v>#N/A</v>
      </c>
      <c r="J273" s="13" t="e">
        <v>#N/A</v>
      </c>
      <c r="K273" s="13" t="e">
        <v>#N/A</v>
      </c>
      <c r="L273" s="14" t="e">
        <v>#N/A</v>
      </c>
      <c r="M273" s="14" t="e">
        <v>#N/A</v>
      </c>
    </row>
    <row r="274" spans="5:13">
      <c r="E274" s="13" t="e">
        <v>#N/A</v>
      </c>
      <c r="F274" s="13" t="e">
        <v>#N/A</v>
      </c>
      <c r="G274" s="14" t="e">
        <v>#N/A</v>
      </c>
      <c r="H274" s="14" t="e">
        <v>#N/A</v>
      </c>
      <c r="J274" s="13" t="e">
        <v>#N/A</v>
      </c>
      <c r="K274" s="13" t="e">
        <v>#N/A</v>
      </c>
      <c r="L274" s="14" t="e">
        <v>#N/A</v>
      </c>
      <c r="M274" s="14" t="e">
        <v>#N/A</v>
      </c>
    </row>
    <row r="275" spans="5:13">
      <c r="E275" s="13" t="e">
        <v>#N/A</v>
      </c>
      <c r="F275" s="13" t="e">
        <v>#N/A</v>
      </c>
      <c r="G275" s="14" t="e">
        <v>#N/A</v>
      </c>
      <c r="H275" s="14" t="e">
        <v>#N/A</v>
      </c>
      <c r="J275" s="13" t="e">
        <v>#N/A</v>
      </c>
      <c r="K275" s="13" t="e">
        <v>#N/A</v>
      </c>
      <c r="L275" s="14" t="e">
        <v>#N/A</v>
      </c>
      <c r="M275" s="14" t="e">
        <v>#N/A</v>
      </c>
    </row>
    <row r="276" spans="5:13">
      <c r="E276" s="13" t="e">
        <v>#N/A</v>
      </c>
      <c r="F276" s="13" t="e">
        <v>#N/A</v>
      </c>
      <c r="G276" s="14" t="e">
        <v>#N/A</v>
      </c>
      <c r="H276" s="14" t="e">
        <v>#N/A</v>
      </c>
      <c r="J276" s="13" t="e">
        <v>#N/A</v>
      </c>
      <c r="K276" s="13" t="e">
        <v>#N/A</v>
      </c>
      <c r="L276" s="14" t="e">
        <v>#N/A</v>
      </c>
      <c r="M276" s="14" t="e">
        <v>#N/A</v>
      </c>
    </row>
    <row r="277" spans="5:13">
      <c r="E277" s="13" t="e">
        <v>#N/A</v>
      </c>
      <c r="F277" s="13" t="e">
        <v>#N/A</v>
      </c>
      <c r="G277" s="14" t="e">
        <v>#N/A</v>
      </c>
      <c r="H277" s="14" t="e">
        <v>#N/A</v>
      </c>
      <c r="J277" s="13" t="e">
        <v>#N/A</v>
      </c>
      <c r="K277" s="13" t="e">
        <v>#N/A</v>
      </c>
      <c r="L277" s="14" t="e">
        <v>#N/A</v>
      </c>
      <c r="M277" s="14" t="e">
        <v>#N/A</v>
      </c>
    </row>
    <row r="278" spans="5:13">
      <c r="E278" s="13" t="e">
        <v>#N/A</v>
      </c>
      <c r="F278" s="13" t="e">
        <v>#N/A</v>
      </c>
      <c r="G278" s="14" t="e">
        <v>#N/A</v>
      </c>
      <c r="H278" s="14" t="e">
        <v>#N/A</v>
      </c>
      <c r="J278" s="13" t="e">
        <v>#N/A</v>
      </c>
      <c r="K278" s="13" t="e">
        <v>#N/A</v>
      </c>
      <c r="L278" s="14" t="e">
        <v>#N/A</v>
      </c>
      <c r="M278" s="14" t="e">
        <v>#N/A</v>
      </c>
    </row>
    <row r="279" spans="5:13">
      <c r="E279" s="13" t="e">
        <v>#N/A</v>
      </c>
      <c r="F279" s="13" t="e">
        <v>#N/A</v>
      </c>
      <c r="G279" s="14" t="e">
        <v>#N/A</v>
      </c>
      <c r="H279" s="14" t="e">
        <v>#N/A</v>
      </c>
      <c r="J279" s="13" t="e">
        <v>#N/A</v>
      </c>
      <c r="K279" s="13" t="e">
        <v>#N/A</v>
      </c>
      <c r="L279" s="14" t="e">
        <v>#N/A</v>
      </c>
      <c r="M279" s="14" t="e">
        <v>#N/A</v>
      </c>
    </row>
    <row r="280" spans="5:13">
      <c r="E280" s="13" t="e">
        <v>#N/A</v>
      </c>
      <c r="F280" s="13" t="e">
        <v>#N/A</v>
      </c>
      <c r="G280" s="14" t="e">
        <v>#N/A</v>
      </c>
      <c r="H280" s="14" t="e">
        <v>#N/A</v>
      </c>
      <c r="J280" s="13" t="e">
        <v>#N/A</v>
      </c>
      <c r="K280" s="13" t="e">
        <v>#N/A</v>
      </c>
      <c r="L280" s="14" t="e">
        <v>#N/A</v>
      </c>
      <c r="M280" s="14" t="e">
        <v>#N/A</v>
      </c>
    </row>
    <row r="281" spans="5:13">
      <c r="E281" s="13" t="e">
        <v>#N/A</v>
      </c>
      <c r="F281" s="13" t="e">
        <v>#N/A</v>
      </c>
      <c r="G281" s="14" t="e">
        <v>#N/A</v>
      </c>
      <c r="H281" s="14" t="e">
        <v>#N/A</v>
      </c>
      <c r="J281" s="13" t="e">
        <v>#N/A</v>
      </c>
      <c r="K281" s="13" t="e">
        <v>#N/A</v>
      </c>
      <c r="L281" s="14" t="e">
        <v>#N/A</v>
      </c>
      <c r="M281" s="14" t="e">
        <v>#N/A</v>
      </c>
    </row>
    <row r="282" spans="5:13">
      <c r="E282" s="13" t="e">
        <v>#N/A</v>
      </c>
      <c r="F282" s="13" t="e">
        <v>#N/A</v>
      </c>
      <c r="G282" s="14" t="e">
        <v>#N/A</v>
      </c>
      <c r="H282" s="14" t="e">
        <v>#N/A</v>
      </c>
      <c r="J282" s="13" t="e">
        <v>#N/A</v>
      </c>
      <c r="K282" s="13" t="e">
        <v>#N/A</v>
      </c>
      <c r="L282" s="14" t="e">
        <v>#N/A</v>
      </c>
      <c r="M282" s="14" t="e">
        <v>#N/A</v>
      </c>
    </row>
    <row r="283" spans="5:13">
      <c r="E283" s="13" t="e">
        <v>#N/A</v>
      </c>
      <c r="F283" s="13" t="e">
        <v>#N/A</v>
      </c>
      <c r="G283" s="14" t="e">
        <v>#N/A</v>
      </c>
      <c r="H283" s="14" t="e">
        <v>#N/A</v>
      </c>
      <c r="J283" s="13" t="e">
        <v>#N/A</v>
      </c>
      <c r="K283" s="13" t="e">
        <v>#N/A</v>
      </c>
      <c r="L283" s="14" t="e">
        <v>#N/A</v>
      </c>
      <c r="M283" s="14" t="e">
        <v>#N/A</v>
      </c>
    </row>
    <row r="284" spans="5:13">
      <c r="E284" s="13" t="e">
        <v>#N/A</v>
      </c>
      <c r="F284" s="13" t="e">
        <v>#N/A</v>
      </c>
      <c r="G284" s="14" t="e">
        <v>#N/A</v>
      </c>
      <c r="H284" s="14" t="e">
        <v>#N/A</v>
      </c>
      <c r="J284" s="13" t="e">
        <v>#N/A</v>
      </c>
      <c r="K284" s="13" t="e">
        <v>#N/A</v>
      </c>
      <c r="L284" s="14" t="e">
        <v>#N/A</v>
      </c>
      <c r="M284" s="14" t="e">
        <v>#N/A</v>
      </c>
    </row>
    <row r="285" spans="5:13">
      <c r="E285" s="13" t="e">
        <v>#N/A</v>
      </c>
      <c r="F285" s="13" t="e">
        <v>#N/A</v>
      </c>
      <c r="G285" s="14" t="e">
        <v>#N/A</v>
      </c>
      <c r="H285" s="14" t="e">
        <v>#N/A</v>
      </c>
      <c r="J285" s="13" t="e">
        <v>#N/A</v>
      </c>
      <c r="K285" s="13" t="e">
        <v>#N/A</v>
      </c>
      <c r="L285" s="14" t="e">
        <v>#N/A</v>
      </c>
      <c r="M285" s="14" t="e">
        <v>#N/A</v>
      </c>
    </row>
    <row r="286" spans="5:13">
      <c r="E286" s="13" t="e">
        <v>#N/A</v>
      </c>
      <c r="F286" s="13" t="e">
        <v>#N/A</v>
      </c>
      <c r="G286" s="14" t="e">
        <v>#N/A</v>
      </c>
      <c r="H286" s="14" t="e">
        <v>#N/A</v>
      </c>
      <c r="J286" s="13" t="e">
        <v>#N/A</v>
      </c>
      <c r="K286" s="13" t="e">
        <v>#N/A</v>
      </c>
      <c r="L286" s="14" t="e">
        <v>#N/A</v>
      </c>
      <c r="M286" s="14" t="e">
        <v>#N/A</v>
      </c>
    </row>
    <row r="287" spans="5:13">
      <c r="E287" s="13" t="e">
        <v>#N/A</v>
      </c>
      <c r="F287" s="13" t="e">
        <v>#N/A</v>
      </c>
      <c r="G287" s="14" t="e">
        <v>#N/A</v>
      </c>
      <c r="H287" s="14" t="e">
        <v>#N/A</v>
      </c>
      <c r="J287" s="13" t="e">
        <v>#N/A</v>
      </c>
      <c r="K287" s="13" t="e">
        <v>#N/A</v>
      </c>
      <c r="L287" s="14" t="e">
        <v>#N/A</v>
      </c>
      <c r="M287" s="14" t="e">
        <v>#N/A</v>
      </c>
    </row>
    <row r="288" spans="5:13">
      <c r="E288" s="13" t="e">
        <v>#N/A</v>
      </c>
      <c r="F288" s="13" t="e">
        <v>#N/A</v>
      </c>
      <c r="G288" s="14" t="e">
        <v>#N/A</v>
      </c>
      <c r="H288" s="14" t="e">
        <v>#N/A</v>
      </c>
      <c r="J288" s="13" t="e">
        <v>#N/A</v>
      </c>
      <c r="K288" s="13" t="e">
        <v>#N/A</v>
      </c>
      <c r="L288" s="14" t="e">
        <v>#N/A</v>
      </c>
      <c r="M288" s="14" t="e">
        <v>#N/A</v>
      </c>
    </row>
    <row r="289" spans="5:13">
      <c r="E289" s="13" t="e">
        <v>#N/A</v>
      </c>
      <c r="F289" s="13" t="e">
        <v>#N/A</v>
      </c>
      <c r="G289" s="14" t="e">
        <v>#N/A</v>
      </c>
      <c r="H289" s="14" t="e">
        <v>#N/A</v>
      </c>
      <c r="J289" s="13" t="e">
        <v>#N/A</v>
      </c>
      <c r="K289" s="13" t="e">
        <v>#N/A</v>
      </c>
      <c r="L289" s="14" t="e">
        <v>#N/A</v>
      </c>
      <c r="M289" s="14" t="e">
        <v>#N/A</v>
      </c>
    </row>
    <row r="290" spans="5:13">
      <c r="E290" s="13" t="e">
        <v>#N/A</v>
      </c>
      <c r="F290" s="13" t="e">
        <v>#N/A</v>
      </c>
      <c r="G290" s="14" t="e">
        <v>#N/A</v>
      </c>
      <c r="H290" s="14" t="e">
        <v>#N/A</v>
      </c>
      <c r="J290" s="13" t="e">
        <v>#N/A</v>
      </c>
      <c r="K290" s="13" t="e">
        <v>#N/A</v>
      </c>
      <c r="L290" s="14" t="e">
        <v>#N/A</v>
      </c>
      <c r="M290" s="14" t="e">
        <v>#N/A</v>
      </c>
    </row>
    <row r="291" spans="5:13">
      <c r="E291" s="13" t="e">
        <v>#N/A</v>
      </c>
      <c r="F291" s="13" t="e">
        <v>#N/A</v>
      </c>
      <c r="G291" s="14" t="e">
        <v>#N/A</v>
      </c>
      <c r="H291" s="14" t="e">
        <v>#N/A</v>
      </c>
      <c r="J291" s="13" t="e">
        <v>#N/A</v>
      </c>
      <c r="K291" s="13" t="e">
        <v>#N/A</v>
      </c>
      <c r="L291" s="14" t="e">
        <v>#N/A</v>
      </c>
      <c r="M291" s="14" t="e">
        <v>#N/A</v>
      </c>
    </row>
    <row r="292" spans="5:13">
      <c r="E292" s="13" t="e">
        <v>#N/A</v>
      </c>
      <c r="F292" s="13" t="e">
        <v>#N/A</v>
      </c>
      <c r="G292" s="14" t="e">
        <v>#N/A</v>
      </c>
      <c r="H292" s="14" t="e">
        <v>#N/A</v>
      </c>
      <c r="J292" s="13" t="e">
        <v>#N/A</v>
      </c>
      <c r="K292" s="13" t="e">
        <v>#N/A</v>
      </c>
      <c r="L292" s="14" t="e">
        <v>#N/A</v>
      </c>
      <c r="M292" s="14" t="e">
        <v>#N/A</v>
      </c>
    </row>
    <row r="293" spans="5:13">
      <c r="E293" s="13" t="e">
        <v>#N/A</v>
      </c>
      <c r="F293" s="13" t="e">
        <v>#N/A</v>
      </c>
      <c r="G293" s="14" t="e">
        <v>#N/A</v>
      </c>
      <c r="H293" s="14" t="e">
        <v>#N/A</v>
      </c>
      <c r="J293" s="13" t="e">
        <v>#N/A</v>
      </c>
      <c r="K293" s="13" t="e">
        <v>#N/A</v>
      </c>
      <c r="L293" s="14" t="e">
        <v>#N/A</v>
      </c>
      <c r="M293" s="14" t="e">
        <v>#N/A</v>
      </c>
    </row>
    <row r="294" spans="5:13">
      <c r="E294" s="13" t="e">
        <v>#N/A</v>
      </c>
      <c r="F294" s="13" t="e">
        <v>#N/A</v>
      </c>
      <c r="G294" s="14" t="e">
        <v>#N/A</v>
      </c>
      <c r="H294" s="14" t="e">
        <v>#N/A</v>
      </c>
      <c r="J294" s="13" t="e">
        <v>#N/A</v>
      </c>
      <c r="K294" s="13" t="e">
        <v>#N/A</v>
      </c>
      <c r="L294" s="14" t="e">
        <v>#N/A</v>
      </c>
      <c r="M294" s="14" t="e">
        <v>#N/A</v>
      </c>
    </row>
    <row r="295" spans="5:13">
      <c r="E295" s="13" t="e">
        <v>#N/A</v>
      </c>
      <c r="F295" s="13" t="e">
        <v>#N/A</v>
      </c>
      <c r="G295" s="14" t="e">
        <v>#N/A</v>
      </c>
      <c r="H295" s="14" t="e">
        <v>#N/A</v>
      </c>
      <c r="J295" s="13" t="e">
        <v>#N/A</v>
      </c>
      <c r="K295" s="13" t="e">
        <v>#N/A</v>
      </c>
      <c r="L295" s="14" t="e">
        <v>#N/A</v>
      </c>
      <c r="M295" s="14" t="e">
        <v>#N/A</v>
      </c>
    </row>
    <row r="296" spans="5:13">
      <c r="E296" s="13" t="e">
        <v>#N/A</v>
      </c>
      <c r="F296" s="13" t="e">
        <v>#N/A</v>
      </c>
      <c r="G296" s="14" t="e">
        <v>#N/A</v>
      </c>
      <c r="H296" s="14" t="e">
        <v>#N/A</v>
      </c>
      <c r="J296" s="13" t="e">
        <v>#N/A</v>
      </c>
      <c r="K296" s="13" t="e">
        <v>#N/A</v>
      </c>
      <c r="L296" s="14" t="e">
        <v>#N/A</v>
      </c>
      <c r="M296" s="14" t="e">
        <v>#N/A</v>
      </c>
    </row>
    <row r="297" spans="5:13">
      <c r="E297" s="13" t="e">
        <v>#N/A</v>
      </c>
      <c r="F297" s="13" t="e">
        <v>#N/A</v>
      </c>
      <c r="G297" s="14" t="e">
        <v>#N/A</v>
      </c>
      <c r="H297" s="14" t="e">
        <v>#N/A</v>
      </c>
      <c r="J297" s="13" t="e">
        <v>#N/A</v>
      </c>
      <c r="K297" s="13" t="e">
        <v>#N/A</v>
      </c>
      <c r="L297" s="14" t="e">
        <v>#N/A</v>
      </c>
      <c r="M297" s="14" t="e">
        <v>#N/A</v>
      </c>
    </row>
    <row r="298" spans="5:13">
      <c r="E298" s="13" t="e">
        <v>#N/A</v>
      </c>
      <c r="F298" s="13" t="e">
        <v>#N/A</v>
      </c>
      <c r="G298" s="14" t="e">
        <v>#N/A</v>
      </c>
      <c r="H298" s="14" t="e">
        <v>#N/A</v>
      </c>
      <c r="J298" s="13" t="e">
        <v>#N/A</v>
      </c>
      <c r="K298" s="13" t="e">
        <v>#N/A</v>
      </c>
      <c r="L298" s="14" t="e">
        <v>#N/A</v>
      </c>
      <c r="M298" s="14" t="e">
        <v>#N/A</v>
      </c>
    </row>
    <row r="299" spans="5:13">
      <c r="E299" s="13" t="e">
        <v>#N/A</v>
      </c>
      <c r="F299" s="13" t="e">
        <v>#N/A</v>
      </c>
      <c r="G299" s="14" t="e">
        <v>#N/A</v>
      </c>
      <c r="H299" s="14" t="e">
        <v>#N/A</v>
      </c>
      <c r="J299" s="13" t="e">
        <v>#N/A</v>
      </c>
      <c r="K299" s="13" t="e">
        <v>#N/A</v>
      </c>
      <c r="L299" s="14" t="e">
        <v>#N/A</v>
      </c>
      <c r="M299" s="14" t="e">
        <v>#N/A</v>
      </c>
    </row>
    <row r="300" spans="5:13">
      <c r="E300" s="13" t="e">
        <v>#N/A</v>
      </c>
      <c r="F300" s="13" t="e">
        <v>#N/A</v>
      </c>
      <c r="G300" s="14" t="e">
        <v>#N/A</v>
      </c>
      <c r="H300" s="14" t="e">
        <v>#N/A</v>
      </c>
      <c r="J300" s="13" t="e">
        <v>#N/A</v>
      </c>
      <c r="K300" s="13" t="e">
        <v>#N/A</v>
      </c>
      <c r="L300" s="14" t="e">
        <v>#N/A</v>
      </c>
      <c r="M300" s="14" t="e">
        <v>#N/A</v>
      </c>
    </row>
    <row r="301" spans="5:13">
      <c r="E301" s="13" t="e">
        <v>#N/A</v>
      </c>
      <c r="F301" s="13" t="e">
        <v>#N/A</v>
      </c>
      <c r="G301" s="14" t="e">
        <v>#N/A</v>
      </c>
      <c r="H301" s="14" t="e">
        <v>#N/A</v>
      </c>
      <c r="J301" s="13" t="e">
        <v>#N/A</v>
      </c>
      <c r="K301" s="13" t="e">
        <v>#N/A</v>
      </c>
      <c r="L301" s="14" t="e">
        <v>#N/A</v>
      </c>
      <c r="M301" s="14" t="e">
        <v>#N/A</v>
      </c>
    </row>
    <row r="302" spans="5:13">
      <c r="E302" s="13" t="e">
        <v>#N/A</v>
      </c>
      <c r="F302" s="13" t="e">
        <v>#N/A</v>
      </c>
      <c r="G302" s="14" t="e">
        <v>#N/A</v>
      </c>
      <c r="H302" s="14" t="e">
        <v>#N/A</v>
      </c>
      <c r="J302" s="13" t="e">
        <v>#N/A</v>
      </c>
      <c r="K302" s="13" t="e">
        <v>#N/A</v>
      </c>
      <c r="L302" s="14" t="e">
        <v>#N/A</v>
      </c>
      <c r="M302" s="14" t="e">
        <v>#N/A</v>
      </c>
    </row>
    <row r="303" spans="5:13">
      <c r="E303" s="13" t="e">
        <v>#N/A</v>
      </c>
      <c r="F303" s="13" t="e">
        <v>#N/A</v>
      </c>
      <c r="G303" s="14" t="e">
        <v>#N/A</v>
      </c>
      <c r="H303" s="14" t="e">
        <v>#N/A</v>
      </c>
      <c r="J303" s="13" t="e">
        <v>#N/A</v>
      </c>
      <c r="K303" s="13" t="e">
        <v>#N/A</v>
      </c>
      <c r="L303" s="14" t="e">
        <v>#N/A</v>
      </c>
      <c r="M303" s="14" t="e">
        <v>#N/A</v>
      </c>
    </row>
    <row r="304" spans="5:13">
      <c r="E304" s="13" t="e">
        <v>#N/A</v>
      </c>
      <c r="F304" s="13" t="e">
        <v>#N/A</v>
      </c>
      <c r="G304" s="14" t="e">
        <v>#N/A</v>
      </c>
      <c r="H304" s="14" t="e">
        <v>#N/A</v>
      </c>
      <c r="J304" s="13" t="e">
        <v>#N/A</v>
      </c>
      <c r="K304" s="13" t="e">
        <v>#N/A</v>
      </c>
      <c r="L304" s="14" t="e">
        <v>#N/A</v>
      </c>
      <c r="M304" s="14" t="e">
        <v>#N/A</v>
      </c>
    </row>
    <row r="305" spans="5:13">
      <c r="E305" s="13" t="e">
        <v>#N/A</v>
      </c>
      <c r="F305" s="13" t="e">
        <v>#N/A</v>
      </c>
      <c r="G305" s="14" t="e">
        <v>#N/A</v>
      </c>
      <c r="H305" s="14" t="e">
        <v>#N/A</v>
      </c>
      <c r="J305" s="13" t="e">
        <v>#N/A</v>
      </c>
      <c r="K305" s="13" t="e">
        <v>#N/A</v>
      </c>
      <c r="L305" s="14" t="e">
        <v>#N/A</v>
      </c>
      <c r="M305" s="14" t="e">
        <v>#N/A</v>
      </c>
    </row>
    <row r="306" spans="5:13">
      <c r="E306" s="13" t="e">
        <v>#N/A</v>
      </c>
      <c r="F306" s="13" t="e">
        <v>#N/A</v>
      </c>
      <c r="G306" s="14" t="e">
        <v>#N/A</v>
      </c>
      <c r="H306" s="14" t="e">
        <v>#N/A</v>
      </c>
      <c r="J306" s="13" t="e">
        <v>#N/A</v>
      </c>
      <c r="K306" s="13" t="e">
        <v>#N/A</v>
      </c>
      <c r="L306" s="14" t="e">
        <v>#N/A</v>
      </c>
      <c r="M306" s="14" t="e">
        <v>#N/A</v>
      </c>
    </row>
    <row r="307" spans="5:13">
      <c r="E307" s="13" t="e">
        <v>#N/A</v>
      </c>
      <c r="F307" s="13" t="e">
        <v>#N/A</v>
      </c>
      <c r="G307" s="14" t="e">
        <v>#N/A</v>
      </c>
      <c r="H307" s="14" t="e">
        <v>#N/A</v>
      </c>
      <c r="J307" s="13" t="e">
        <v>#N/A</v>
      </c>
      <c r="K307" s="13" t="e">
        <v>#N/A</v>
      </c>
      <c r="L307" s="14" t="e">
        <v>#N/A</v>
      </c>
      <c r="M307" s="14" t="e">
        <v>#N/A</v>
      </c>
    </row>
    <row r="308" spans="5:13">
      <c r="E308" s="13" t="e">
        <v>#N/A</v>
      </c>
      <c r="F308" s="13" t="e">
        <v>#N/A</v>
      </c>
      <c r="G308" s="14" t="e">
        <v>#N/A</v>
      </c>
      <c r="H308" s="14" t="e">
        <v>#N/A</v>
      </c>
      <c r="J308" s="13" t="e">
        <v>#N/A</v>
      </c>
      <c r="K308" s="13" t="e">
        <v>#N/A</v>
      </c>
      <c r="L308" s="14" t="e">
        <v>#N/A</v>
      </c>
      <c r="M308" s="14" t="e">
        <v>#N/A</v>
      </c>
    </row>
    <row r="309" spans="5:13">
      <c r="E309" s="13" t="e">
        <v>#N/A</v>
      </c>
      <c r="F309" s="13" t="e">
        <v>#N/A</v>
      </c>
      <c r="G309" s="14" t="e">
        <v>#N/A</v>
      </c>
      <c r="H309" s="14" t="e">
        <v>#N/A</v>
      </c>
      <c r="J309" s="13" t="e">
        <v>#N/A</v>
      </c>
      <c r="K309" s="13" t="e">
        <v>#N/A</v>
      </c>
      <c r="L309" s="14" t="e">
        <v>#N/A</v>
      </c>
      <c r="M309" s="14" t="e">
        <v>#N/A</v>
      </c>
    </row>
    <row r="310" spans="5:13">
      <c r="E310" s="13" t="e">
        <v>#N/A</v>
      </c>
      <c r="F310" s="13" t="e">
        <v>#N/A</v>
      </c>
      <c r="G310" s="14" t="e">
        <v>#N/A</v>
      </c>
      <c r="H310" s="14" t="e">
        <v>#N/A</v>
      </c>
      <c r="J310" s="13" t="e">
        <v>#N/A</v>
      </c>
      <c r="K310" s="13" t="e">
        <v>#N/A</v>
      </c>
      <c r="L310" s="14" t="e">
        <v>#N/A</v>
      </c>
      <c r="M310" s="14" t="e">
        <v>#N/A</v>
      </c>
    </row>
    <row r="311" spans="5:13">
      <c r="E311" s="13" t="e">
        <v>#N/A</v>
      </c>
      <c r="F311" s="13" t="e">
        <v>#N/A</v>
      </c>
      <c r="G311" s="14" t="e">
        <v>#N/A</v>
      </c>
      <c r="H311" s="14" t="e">
        <v>#N/A</v>
      </c>
      <c r="J311" s="13" t="e">
        <v>#N/A</v>
      </c>
      <c r="K311" s="13" t="e">
        <v>#N/A</v>
      </c>
      <c r="L311" s="14" t="e">
        <v>#N/A</v>
      </c>
      <c r="M311" s="14" t="e">
        <v>#N/A</v>
      </c>
    </row>
    <row r="312" spans="5:13">
      <c r="E312" s="13" t="e">
        <v>#N/A</v>
      </c>
      <c r="F312" s="13" t="e">
        <v>#N/A</v>
      </c>
      <c r="G312" s="14" t="e">
        <v>#N/A</v>
      </c>
      <c r="H312" s="14" t="e">
        <v>#N/A</v>
      </c>
      <c r="J312" s="13" t="e">
        <v>#N/A</v>
      </c>
      <c r="K312" s="13" t="e">
        <v>#N/A</v>
      </c>
      <c r="L312" s="14" t="e">
        <v>#N/A</v>
      </c>
      <c r="M312" s="14" t="e">
        <v>#N/A</v>
      </c>
    </row>
    <row r="313" spans="5:13">
      <c r="E313" s="13" t="e">
        <v>#N/A</v>
      </c>
      <c r="F313" s="13" t="e">
        <v>#N/A</v>
      </c>
      <c r="G313" s="14" t="e">
        <v>#N/A</v>
      </c>
      <c r="H313" s="14" t="e">
        <v>#N/A</v>
      </c>
      <c r="J313" s="13" t="e">
        <v>#N/A</v>
      </c>
      <c r="K313" s="13" t="e">
        <v>#N/A</v>
      </c>
      <c r="L313" s="14" t="e">
        <v>#N/A</v>
      </c>
      <c r="M313" s="14" t="e">
        <v>#N/A</v>
      </c>
    </row>
    <row r="314" spans="5:13">
      <c r="E314" s="13" t="e">
        <v>#N/A</v>
      </c>
      <c r="F314" s="13" t="e">
        <v>#N/A</v>
      </c>
      <c r="G314" s="14" t="e">
        <v>#N/A</v>
      </c>
      <c r="H314" s="14" t="e">
        <v>#N/A</v>
      </c>
      <c r="J314" s="13" t="e">
        <v>#N/A</v>
      </c>
      <c r="K314" s="13" t="e">
        <v>#N/A</v>
      </c>
      <c r="L314" s="14" t="e">
        <v>#N/A</v>
      </c>
      <c r="M314" s="14" t="e">
        <v>#N/A</v>
      </c>
    </row>
    <row r="315" spans="5:13">
      <c r="E315" s="13" t="e">
        <v>#N/A</v>
      </c>
      <c r="F315" s="13" t="e">
        <v>#N/A</v>
      </c>
      <c r="G315" s="14" t="e">
        <v>#N/A</v>
      </c>
      <c r="H315" s="14" t="e">
        <v>#N/A</v>
      </c>
      <c r="J315" s="13" t="e">
        <v>#N/A</v>
      </c>
      <c r="K315" s="13" t="e">
        <v>#N/A</v>
      </c>
      <c r="L315" s="14" t="e">
        <v>#N/A</v>
      </c>
      <c r="M315" s="14" t="e">
        <v>#N/A</v>
      </c>
    </row>
    <row r="316" spans="5:13">
      <c r="E316" s="13" t="e">
        <v>#N/A</v>
      </c>
      <c r="F316" s="13" t="e">
        <v>#N/A</v>
      </c>
      <c r="G316" s="14" t="e">
        <v>#N/A</v>
      </c>
      <c r="H316" s="14" t="e">
        <v>#N/A</v>
      </c>
      <c r="J316" s="13" t="e">
        <v>#N/A</v>
      </c>
      <c r="K316" s="13" t="e">
        <v>#N/A</v>
      </c>
      <c r="L316" s="14" t="e">
        <v>#N/A</v>
      </c>
      <c r="M316" s="14" t="e">
        <v>#N/A</v>
      </c>
    </row>
    <row r="317" spans="5:13">
      <c r="E317" s="13" t="e">
        <v>#N/A</v>
      </c>
      <c r="F317" s="13" t="e">
        <v>#N/A</v>
      </c>
      <c r="G317" s="14" t="e">
        <v>#N/A</v>
      </c>
      <c r="H317" s="14" t="e">
        <v>#N/A</v>
      </c>
      <c r="J317" s="13" t="e">
        <v>#N/A</v>
      </c>
      <c r="K317" s="13" t="e">
        <v>#N/A</v>
      </c>
      <c r="L317" s="14" t="e">
        <v>#N/A</v>
      </c>
      <c r="M317" s="14" t="e">
        <v>#N/A</v>
      </c>
    </row>
    <row r="318" spans="5:13">
      <c r="E318" s="13" t="e">
        <v>#N/A</v>
      </c>
      <c r="F318" s="13" t="e">
        <v>#N/A</v>
      </c>
      <c r="G318" s="14" t="e">
        <v>#N/A</v>
      </c>
      <c r="H318" s="14" t="e">
        <v>#N/A</v>
      </c>
      <c r="J318" s="13" t="e">
        <v>#N/A</v>
      </c>
      <c r="K318" s="13" t="e">
        <v>#N/A</v>
      </c>
      <c r="L318" s="14" t="e">
        <v>#N/A</v>
      </c>
      <c r="M318" s="14" t="e">
        <v>#N/A</v>
      </c>
    </row>
    <row r="319" spans="5:13">
      <c r="E319" s="13" t="e">
        <v>#N/A</v>
      </c>
      <c r="F319" s="13" t="e">
        <v>#N/A</v>
      </c>
      <c r="G319" s="14" t="e">
        <v>#N/A</v>
      </c>
      <c r="H319" s="14" t="e">
        <v>#N/A</v>
      </c>
      <c r="J319" s="13" t="e">
        <v>#N/A</v>
      </c>
      <c r="K319" s="13" t="e">
        <v>#N/A</v>
      </c>
      <c r="L319" s="14" t="e">
        <v>#N/A</v>
      </c>
      <c r="M319" s="14" t="e">
        <v>#N/A</v>
      </c>
    </row>
    <row r="320" spans="5:13">
      <c r="E320" s="13" t="e">
        <v>#N/A</v>
      </c>
      <c r="F320" s="13" t="e">
        <v>#N/A</v>
      </c>
      <c r="G320" s="14" t="e">
        <v>#N/A</v>
      </c>
      <c r="H320" s="14" t="e">
        <v>#N/A</v>
      </c>
      <c r="J320" s="13" t="e">
        <v>#N/A</v>
      </c>
      <c r="K320" s="13" t="e">
        <v>#N/A</v>
      </c>
      <c r="L320" s="14" t="e">
        <v>#N/A</v>
      </c>
      <c r="M320" s="14" t="e">
        <v>#N/A</v>
      </c>
    </row>
    <row r="321" spans="5:13">
      <c r="E321" s="13" t="e">
        <v>#N/A</v>
      </c>
      <c r="F321" s="13" t="e">
        <v>#N/A</v>
      </c>
      <c r="G321" s="14" t="e">
        <v>#N/A</v>
      </c>
      <c r="H321" s="14" t="e">
        <v>#N/A</v>
      </c>
      <c r="J321" s="13" t="e">
        <v>#N/A</v>
      </c>
      <c r="K321" s="13" t="e">
        <v>#N/A</v>
      </c>
      <c r="L321" s="14" t="e">
        <v>#N/A</v>
      </c>
      <c r="M321" s="14" t="e">
        <v>#N/A</v>
      </c>
    </row>
    <row r="322" spans="5:13">
      <c r="E322" s="13" t="e">
        <v>#N/A</v>
      </c>
      <c r="F322" s="13" t="e">
        <v>#N/A</v>
      </c>
      <c r="G322" s="14" t="e">
        <v>#N/A</v>
      </c>
      <c r="H322" s="14" t="e">
        <v>#N/A</v>
      </c>
      <c r="J322" s="13" t="e">
        <v>#N/A</v>
      </c>
      <c r="K322" s="13" t="e">
        <v>#N/A</v>
      </c>
      <c r="L322" s="14" t="e">
        <v>#N/A</v>
      </c>
      <c r="M322" s="14" t="e">
        <v>#N/A</v>
      </c>
    </row>
    <row r="323" spans="5:13">
      <c r="E323" s="13" t="e">
        <v>#N/A</v>
      </c>
      <c r="F323" s="13" t="e">
        <v>#N/A</v>
      </c>
      <c r="G323" s="14" t="e">
        <v>#N/A</v>
      </c>
      <c r="H323" s="14" t="e">
        <v>#N/A</v>
      </c>
      <c r="J323" s="13" t="e">
        <v>#N/A</v>
      </c>
      <c r="K323" s="13" t="e">
        <v>#N/A</v>
      </c>
      <c r="L323" s="14" t="e">
        <v>#N/A</v>
      </c>
      <c r="M323" s="14" t="e">
        <v>#N/A</v>
      </c>
    </row>
    <row r="324" spans="5:13">
      <c r="E324" s="13" t="e">
        <v>#N/A</v>
      </c>
      <c r="F324" s="13" t="e">
        <v>#N/A</v>
      </c>
      <c r="G324" s="14" t="e">
        <v>#N/A</v>
      </c>
      <c r="H324" s="14" t="e">
        <v>#N/A</v>
      </c>
      <c r="J324" s="13" t="e">
        <v>#N/A</v>
      </c>
      <c r="K324" s="13" t="e">
        <v>#N/A</v>
      </c>
      <c r="L324" s="14" t="e">
        <v>#N/A</v>
      </c>
      <c r="M324" s="14" t="e">
        <v>#N/A</v>
      </c>
    </row>
    <row r="325" spans="5:13">
      <c r="E325" s="13" t="e">
        <v>#N/A</v>
      </c>
      <c r="F325" s="13" t="e">
        <v>#N/A</v>
      </c>
      <c r="G325" s="14" t="e">
        <v>#N/A</v>
      </c>
      <c r="H325" s="14" t="e">
        <v>#N/A</v>
      </c>
      <c r="J325" s="13" t="e">
        <v>#N/A</v>
      </c>
      <c r="K325" s="13" t="e">
        <v>#N/A</v>
      </c>
      <c r="L325" s="14" t="e">
        <v>#N/A</v>
      </c>
      <c r="M325" s="14" t="e">
        <v>#N/A</v>
      </c>
    </row>
    <row r="326" spans="5:13">
      <c r="E326" s="13" t="e">
        <v>#N/A</v>
      </c>
      <c r="F326" s="13" t="e">
        <v>#N/A</v>
      </c>
      <c r="G326" s="14" t="e">
        <v>#N/A</v>
      </c>
      <c r="H326" s="14" t="e">
        <v>#N/A</v>
      </c>
      <c r="J326" s="13" t="e">
        <v>#N/A</v>
      </c>
      <c r="K326" s="13" t="e">
        <v>#N/A</v>
      </c>
      <c r="L326" s="14" t="e">
        <v>#N/A</v>
      </c>
      <c r="M326" s="14" t="e">
        <v>#N/A</v>
      </c>
    </row>
    <row r="327" spans="5:13">
      <c r="E327" s="13" t="e">
        <v>#N/A</v>
      </c>
      <c r="F327" s="13" t="e">
        <v>#N/A</v>
      </c>
      <c r="G327" s="14" t="e">
        <v>#N/A</v>
      </c>
      <c r="H327" s="14" t="e">
        <v>#N/A</v>
      </c>
      <c r="J327" s="13" t="e">
        <v>#N/A</v>
      </c>
      <c r="K327" s="13" t="e">
        <v>#N/A</v>
      </c>
      <c r="L327" s="14" t="e">
        <v>#N/A</v>
      </c>
      <c r="M327" s="14" t="e">
        <v>#N/A</v>
      </c>
    </row>
    <row r="328" spans="5:13">
      <c r="E328" s="13" t="e">
        <v>#N/A</v>
      </c>
      <c r="F328" s="13" t="e">
        <v>#N/A</v>
      </c>
      <c r="G328" s="14" t="e">
        <v>#N/A</v>
      </c>
      <c r="H328" s="14" t="e">
        <v>#N/A</v>
      </c>
      <c r="J328" s="13" t="e">
        <v>#N/A</v>
      </c>
      <c r="K328" s="13" t="e">
        <v>#N/A</v>
      </c>
      <c r="L328" s="14" t="e">
        <v>#N/A</v>
      </c>
      <c r="M328" s="14" t="e">
        <v>#N/A</v>
      </c>
    </row>
    <row r="329" spans="5:13">
      <c r="E329" s="13" t="e">
        <v>#N/A</v>
      </c>
      <c r="F329" s="13" t="e">
        <v>#N/A</v>
      </c>
      <c r="G329" s="14" t="e">
        <v>#N/A</v>
      </c>
      <c r="H329" s="14" t="e">
        <v>#N/A</v>
      </c>
      <c r="J329" s="13" t="e">
        <v>#N/A</v>
      </c>
      <c r="K329" s="13" t="e">
        <v>#N/A</v>
      </c>
      <c r="L329" s="14" t="e">
        <v>#N/A</v>
      </c>
      <c r="M329" s="14" t="e">
        <v>#N/A</v>
      </c>
    </row>
    <row r="330" spans="5:13">
      <c r="E330" s="13" t="e">
        <v>#N/A</v>
      </c>
      <c r="F330" s="13" t="e">
        <v>#N/A</v>
      </c>
      <c r="G330" s="14" t="e">
        <v>#N/A</v>
      </c>
      <c r="H330" s="14" t="e">
        <v>#N/A</v>
      </c>
      <c r="J330" s="13" t="e">
        <v>#N/A</v>
      </c>
      <c r="K330" s="13" t="e">
        <v>#N/A</v>
      </c>
      <c r="L330" s="14" t="e">
        <v>#N/A</v>
      </c>
      <c r="M330" s="14" t="e">
        <v>#N/A</v>
      </c>
    </row>
    <row r="331" spans="5:13">
      <c r="E331" s="13" t="e">
        <v>#N/A</v>
      </c>
      <c r="F331" s="13" t="e">
        <v>#N/A</v>
      </c>
      <c r="G331" s="14" t="e">
        <v>#N/A</v>
      </c>
      <c r="H331" s="14" t="e">
        <v>#N/A</v>
      </c>
      <c r="J331" s="13" t="e">
        <v>#N/A</v>
      </c>
      <c r="K331" s="13" t="e">
        <v>#N/A</v>
      </c>
      <c r="L331" s="14" t="e">
        <v>#N/A</v>
      </c>
      <c r="M331" s="14" t="e">
        <v>#N/A</v>
      </c>
    </row>
    <row r="332" spans="5:13">
      <c r="E332" s="13" t="e">
        <v>#N/A</v>
      </c>
      <c r="F332" s="13" t="e">
        <v>#N/A</v>
      </c>
      <c r="G332" s="14" t="e">
        <v>#N/A</v>
      </c>
      <c r="H332" s="14" t="e">
        <v>#N/A</v>
      </c>
      <c r="J332" s="13" t="e">
        <v>#N/A</v>
      </c>
      <c r="K332" s="13" t="e">
        <v>#N/A</v>
      </c>
      <c r="L332" s="14" t="e">
        <v>#N/A</v>
      </c>
      <c r="M332" s="14" t="e">
        <v>#N/A</v>
      </c>
    </row>
    <row r="333" spans="5:13">
      <c r="E333" s="13" t="e">
        <v>#N/A</v>
      </c>
      <c r="F333" s="13" t="e">
        <v>#N/A</v>
      </c>
      <c r="G333" s="14" t="e">
        <v>#N/A</v>
      </c>
      <c r="H333" s="14" t="e">
        <v>#N/A</v>
      </c>
      <c r="J333" s="13" t="e">
        <v>#N/A</v>
      </c>
      <c r="K333" s="13" t="e">
        <v>#N/A</v>
      </c>
      <c r="L333" s="14" t="e">
        <v>#N/A</v>
      </c>
      <c r="M333" s="14" t="e">
        <v>#N/A</v>
      </c>
    </row>
    <row r="334" spans="5:13">
      <c r="E334" s="13" t="e">
        <v>#N/A</v>
      </c>
      <c r="F334" s="13" t="e">
        <v>#N/A</v>
      </c>
      <c r="G334" s="14" t="e">
        <v>#N/A</v>
      </c>
      <c r="H334" s="14" t="e">
        <v>#N/A</v>
      </c>
      <c r="J334" s="13" t="e">
        <v>#N/A</v>
      </c>
      <c r="K334" s="13" t="e">
        <v>#N/A</v>
      </c>
      <c r="L334" s="14" t="e">
        <v>#N/A</v>
      </c>
      <c r="M334" s="14" t="e">
        <v>#N/A</v>
      </c>
    </row>
    <row r="335" spans="5:13">
      <c r="E335" s="13" t="e">
        <v>#N/A</v>
      </c>
      <c r="F335" s="13" t="e">
        <v>#N/A</v>
      </c>
      <c r="G335" s="14" t="e">
        <v>#N/A</v>
      </c>
      <c r="H335" s="14" t="e">
        <v>#N/A</v>
      </c>
      <c r="J335" s="13" t="e">
        <v>#N/A</v>
      </c>
      <c r="K335" s="13" t="e">
        <v>#N/A</v>
      </c>
      <c r="L335" s="14" t="e">
        <v>#N/A</v>
      </c>
      <c r="M335" s="14" t="e">
        <v>#N/A</v>
      </c>
    </row>
    <row r="336" spans="5:13">
      <c r="E336" s="13" t="e">
        <v>#N/A</v>
      </c>
      <c r="F336" s="13" t="e">
        <v>#N/A</v>
      </c>
      <c r="G336" s="14" t="e">
        <v>#N/A</v>
      </c>
      <c r="H336" s="14" t="e">
        <v>#N/A</v>
      </c>
      <c r="J336" s="13" t="e">
        <v>#N/A</v>
      </c>
      <c r="K336" s="13" t="e">
        <v>#N/A</v>
      </c>
      <c r="L336" s="14" t="e">
        <v>#N/A</v>
      </c>
      <c r="M336" s="14" t="e">
        <v>#N/A</v>
      </c>
    </row>
    <row r="337" spans="5:13">
      <c r="E337" s="13" t="e">
        <v>#N/A</v>
      </c>
      <c r="F337" s="13" t="e">
        <v>#N/A</v>
      </c>
      <c r="G337" s="14" t="e">
        <v>#N/A</v>
      </c>
      <c r="H337" s="14" t="e">
        <v>#N/A</v>
      </c>
      <c r="J337" s="13" t="e">
        <v>#N/A</v>
      </c>
      <c r="K337" s="13" t="e">
        <v>#N/A</v>
      </c>
      <c r="L337" s="14" t="e">
        <v>#N/A</v>
      </c>
      <c r="M337" s="14" t="e">
        <v>#N/A</v>
      </c>
    </row>
    <row r="338" spans="5:13">
      <c r="E338" s="13" t="e">
        <v>#N/A</v>
      </c>
      <c r="F338" s="13" t="e">
        <v>#N/A</v>
      </c>
      <c r="G338" s="14" t="e">
        <v>#N/A</v>
      </c>
      <c r="H338" s="14" t="e">
        <v>#N/A</v>
      </c>
      <c r="J338" s="13" t="e">
        <v>#N/A</v>
      </c>
      <c r="K338" s="13" t="e">
        <v>#N/A</v>
      </c>
      <c r="L338" s="14" t="e">
        <v>#N/A</v>
      </c>
      <c r="M338" s="14" t="e">
        <v>#N/A</v>
      </c>
    </row>
    <row r="339" spans="5:13">
      <c r="E339" s="13" t="e">
        <v>#N/A</v>
      </c>
      <c r="F339" s="13" t="e">
        <v>#N/A</v>
      </c>
      <c r="G339" s="14" t="e">
        <v>#N/A</v>
      </c>
      <c r="H339" s="14" t="e">
        <v>#N/A</v>
      </c>
      <c r="J339" s="13" t="e">
        <v>#N/A</v>
      </c>
      <c r="K339" s="13" t="e">
        <v>#N/A</v>
      </c>
      <c r="L339" s="14" t="e">
        <v>#N/A</v>
      </c>
      <c r="M339" s="14" t="e">
        <v>#N/A</v>
      </c>
    </row>
    <row r="340" spans="5:13">
      <c r="E340" s="13" t="e">
        <v>#N/A</v>
      </c>
      <c r="F340" s="13" t="e">
        <v>#N/A</v>
      </c>
      <c r="G340" s="14" t="e">
        <v>#N/A</v>
      </c>
      <c r="H340" s="14" t="e">
        <v>#N/A</v>
      </c>
      <c r="J340" s="13" t="e">
        <v>#N/A</v>
      </c>
      <c r="K340" s="13" t="e">
        <v>#N/A</v>
      </c>
      <c r="L340" s="14" t="e">
        <v>#N/A</v>
      </c>
      <c r="M340" s="14" t="e">
        <v>#N/A</v>
      </c>
    </row>
    <row r="341" spans="5:13">
      <c r="E341" s="13" t="e">
        <v>#N/A</v>
      </c>
      <c r="F341" s="13" t="e">
        <v>#N/A</v>
      </c>
      <c r="G341" s="14" t="e">
        <v>#N/A</v>
      </c>
      <c r="H341" s="14" t="e">
        <v>#N/A</v>
      </c>
      <c r="J341" s="13" t="e">
        <v>#N/A</v>
      </c>
      <c r="K341" s="13" t="e">
        <v>#N/A</v>
      </c>
      <c r="L341" s="14" t="e">
        <v>#N/A</v>
      </c>
      <c r="M341" s="14" t="e">
        <v>#N/A</v>
      </c>
    </row>
    <row r="342" spans="5:13">
      <c r="E342" s="13" t="e">
        <v>#N/A</v>
      </c>
      <c r="F342" s="13" t="e">
        <v>#N/A</v>
      </c>
      <c r="G342" s="14" t="e">
        <v>#N/A</v>
      </c>
      <c r="H342" s="14" t="e">
        <v>#N/A</v>
      </c>
      <c r="J342" s="13" t="e">
        <v>#N/A</v>
      </c>
      <c r="K342" s="13" t="e">
        <v>#N/A</v>
      </c>
      <c r="L342" s="14" t="e">
        <v>#N/A</v>
      </c>
      <c r="M342" s="14" t="e">
        <v>#N/A</v>
      </c>
    </row>
    <row r="343" spans="5:13">
      <c r="E343" s="13" t="e">
        <v>#N/A</v>
      </c>
      <c r="F343" s="13" t="e">
        <v>#N/A</v>
      </c>
      <c r="G343" s="14" t="e">
        <v>#N/A</v>
      </c>
      <c r="H343" s="14" t="e">
        <v>#N/A</v>
      </c>
      <c r="J343" s="13" t="e">
        <v>#N/A</v>
      </c>
      <c r="K343" s="13" t="e">
        <v>#N/A</v>
      </c>
      <c r="L343" s="14" t="e">
        <v>#N/A</v>
      </c>
      <c r="M343" s="14" t="e">
        <v>#N/A</v>
      </c>
    </row>
    <row r="344" spans="5:13">
      <c r="E344" s="13" t="e">
        <v>#N/A</v>
      </c>
      <c r="F344" s="13" t="e">
        <v>#N/A</v>
      </c>
      <c r="G344" s="14" t="e">
        <v>#N/A</v>
      </c>
      <c r="H344" s="14" t="e">
        <v>#N/A</v>
      </c>
      <c r="J344" s="13" t="e">
        <v>#N/A</v>
      </c>
      <c r="K344" s="13" t="e">
        <v>#N/A</v>
      </c>
      <c r="L344" s="14" t="e">
        <v>#N/A</v>
      </c>
      <c r="M344" s="14" t="e">
        <v>#N/A</v>
      </c>
    </row>
    <row r="345" spans="5:13">
      <c r="E345" s="13" t="e">
        <v>#N/A</v>
      </c>
      <c r="F345" s="13" t="e">
        <v>#N/A</v>
      </c>
      <c r="G345" s="14" t="e">
        <v>#N/A</v>
      </c>
      <c r="H345" s="14" t="e">
        <v>#N/A</v>
      </c>
      <c r="J345" s="13" t="e">
        <v>#N/A</v>
      </c>
      <c r="K345" s="13" t="e">
        <v>#N/A</v>
      </c>
      <c r="L345" s="14" t="e">
        <v>#N/A</v>
      </c>
      <c r="M345" s="14" t="e">
        <v>#N/A</v>
      </c>
    </row>
    <row r="346" spans="5:13">
      <c r="E346" s="13" t="e">
        <v>#N/A</v>
      </c>
      <c r="F346" s="13" t="e">
        <v>#N/A</v>
      </c>
      <c r="G346" s="14" t="e">
        <v>#N/A</v>
      </c>
      <c r="H346" s="14" t="e">
        <v>#N/A</v>
      </c>
      <c r="J346" s="13" t="e">
        <v>#N/A</v>
      </c>
      <c r="K346" s="13" t="e">
        <v>#N/A</v>
      </c>
      <c r="L346" s="14" t="e">
        <v>#N/A</v>
      </c>
      <c r="M346" s="14" t="e">
        <v>#N/A</v>
      </c>
    </row>
    <row r="347" spans="5:13">
      <c r="E347" s="13" t="e">
        <v>#N/A</v>
      </c>
      <c r="F347" s="13" t="e">
        <v>#N/A</v>
      </c>
      <c r="G347" s="14" t="e">
        <v>#N/A</v>
      </c>
      <c r="H347" s="14" t="e">
        <v>#N/A</v>
      </c>
      <c r="J347" s="13" t="e">
        <v>#N/A</v>
      </c>
      <c r="K347" s="13" t="e">
        <v>#N/A</v>
      </c>
      <c r="L347" s="14" t="e">
        <v>#N/A</v>
      </c>
      <c r="M347" s="14" t="e">
        <v>#N/A</v>
      </c>
    </row>
    <row r="348" spans="5:13">
      <c r="E348" s="13" t="e">
        <v>#N/A</v>
      </c>
      <c r="F348" s="13" t="e">
        <v>#N/A</v>
      </c>
      <c r="G348" s="14" t="e">
        <v>#N/A</v>
      </c>
      <c r="H348" s="14" t="e">
        <v>#N/A</v>
      </c>
      <c r="J348" s="13" t="e">
        <v>#N/A</v>
      </c>
      <c r="K348" s="13" t="e">
        <v>#N/A</v>
      </c>
      <c r="L348" s="14" t="e">
        <v>#N/A</v>
      </c>
      <c r="M348" s="14" t="e">
        <v>#N/A</v>
      </c>
    </row>
    <row r="349" spans="5:13">
      <c r="E349" s="13" t="e">
        <v>#N/A</v>
      </c>
      <c r="F349" s="13" t="e">
        <v>#N/A</v>
      </c>
      <c r="G349" s="14" t="e">
        <v>#N/A</v>
      </c>
      <c r="H349" s="14" t="e">
        <v>#N/A</v>
      </c>
      <c r="J349" s="13" t="e">
        <v>#N/A</v>
      </c>
      <c r="K349" s="13" t="e">
        <v>#N/A</v>
      </c>
      <c r="L349" s="14" t="e">
        <v>#N/A</v>
      </c>
      <c r="M349" s="14" t="e">
        <v>#N/A</v>
      </c>
    </row>
    <row r="350" spans="5:13">
      <c r="E350" s="13" t="e">
        <v>#N/A</v>
      </c>
      <c r="F350" s="13" t="e">
        <v>#N/A</v>
      </c>
      <c r="G350" s="14" t="e">
        <v>#N/A</v>
      </c>
      <c r="H350" s="14" t="e">
        <v>#N/A</v>
      </c>
      <c r="J350" s="13" t="e">
        <v>#N/A</v>
      </c>
      <c r="K350" s="13" t="e">
        <v>#N/A</v>
      </c>
      <c r="L350" s="14" t="e">
        <v>#N/A</v>
      </c>
      <c r="M350" s="14" t="e">
        <v>#N/A</v>
      </c>
    </row>
    <row r="351" spans="5:13">
      <c r="E351" s="13" t="e">
        <v>#N/A</v>
      </c>
      <c r="F351" s="13" t="e">
        <v>#N/A</v>
      </c>
      <c r="G351" s="14" t="e">
        <v>#N/A</v>
      </c>
      <c r="H351" s="14" t="e">
        <v>#N/A</v>
      </c>
      <c r="J351" s="13" t="e">
        <v>#N/A</v>
      </c>
      <c r="K351" s="13" t="e">
        <v>#N/A</v>
      </c>
      <c r="L351" s="14" t="e">
        <v>#N/A</v>
      </c>
      <c r="M351" s="14" t="e">
        <v>#N/A</v>
      </c>
    </row>
    <row r="352" spans="5:13">
      <c r="E352" s="13" t="e">
        <v>#N/A</v>
      </c>
      <c r="F352" s="13" t="e">
        <v>#N/A</v>
      </c>
      <c r="G352" s="14" t="e">
        <v>#N/A</v>
      </c>
      <c r="H352" s="14" t="e">
        <v>#N/A</v>
      </c>
      <c r="J352" s="13" t="e">
        <v>#N/A</v>
      </c>
      <c r="K352" s="13" t="e">
        <v>#N/A</v>
      </c>
      <c r="L352" s="14" t="e">
        <v>#N/A</v>
      </c>
      <c r="M352" s="14" t="e">
        <v>#N/A</v>
      </c>
    </row>
    <row r="353" spans="5:13">
      <c r="E353" s="13" t="e">
        <v>#N/A</v>
      </c>
      <c r="F353" s="13" t="e">
        <v>#N/A</v>
      </c>
      <c r="G353" s="14" t="e">
        <v>#N/A</v>
      </c>
      <c r="H353" s="14" t="e">
        <v>#N/A</v>
      </c>
      <c r="J353" s="13" t="e">
        <v>#N/A</v>
      </c>
      <c r="K353" s="13" t="e">
        <v>#N/A</v>
      </c>
      <c r="L353" s="14" t="e">
        <v>#N/A</v>
      </c>
      <c r="M353" s="14" t="e">
        <v>#N/A</v>
      </c>
    </row>
    <row r="354" spans="5:13">
      <c r="E354" s="13" t="e">
        <v>#N/A</v>
      </c>
      <c r="F354" s="13" t="e">
        <v>#N/A</v>
      </c>
      <c r="G354" s="14" t="e">
        <v>#N/A</v>
      </c>
      <c r="H354" s="14" t="e">
        <v>#N/A</v>
      </c>
      <c r="J354" s="13" t="e">
        <v>#N/A</v>
      </c>
      <c r="K354" s="13" t="e">
        <v>#N/A</v>
      </c>
      <c r="L354" s="14" t="e">
        <v>#N/A</v>
      </c>
      <c r="M354" s="14" t="e">
        <v>#N/A</v>
      </c>
    </row>
    <row r="355" spans="5:13">
      <c r="E355" s="13" t="e">
        <v>#N/A</v>
      </c>
      <c r="F355" s="13" t="e">
        <v>#N/A</v>
      </c>
      <c r="G355" s="14" t="e">
        <v>#N/A</v>
      </c>
      <c r="H355" s="14" t="e">
        <v>#N/A</v>
      </c>
      <c r="J355" s="13" t="e">
        <v>#N/A</v>
      </c>
      <c r="K355" s="13" t="e">
        <v>#N/A</v>
      </c>
      <c r="L355" s="14" t="e">
        <v>#N/A</v>
      </c>
      <c r="M355" s="14" t="e">
        <v>#N/A</v>
      </c>
    </row>
    <row r="356" spans="5:13">
      <c r="E356" s="13" t="e">
        <v>#N/A</v>
      </c>
      <c r="F356" s="13" t="e">
        <v>#N/A</v>
      </c>
      <c r="G356" s="14" t="e">
        <v>#N/A</v>
      </c>
      <c r="H356" s="14" t="e">
        <v>#N/A</v>
      </c>
      <c r="J356" s="13" t="e">
        <v>#N/A</v>
      </c>
      <c r="K356" s="13" t="e">
        <v>#N/A</v>
      </c>
      <c r="L356" s="14" t="e">
        <v>#N/A</v>
      </c>
      <c r="M356" s="14" t="e">
        <v>#N/A</v>
      </c>
    </row>
    <row r="357" spans="5:13">
      <c r="E357" s="13" t="e">
        <v>#N/A</v>
      </c>
      <c r="F357" s="13" t="e">
        <v>#N/A</v>
      </c>
      <c r="G357" s="14" t="e">
        <v>#N/A</v>
      </c>
      <c r="H357" s="14" t="e">
        <v>#N/A</v>
      </c>
      <c r="J357" s="13" t="e">
        <v>#N/A</v>
      </c>
      <c r="K357" s="13" t="e">
        <v>#N/A</v>
      </c>
      <c r="L357" s="14" t="e">
        <v>#N/A</v>
      </c>
      <c r="M357" s="14" t="e">
        <v>#N/A</v>
      </c>
    </row>
    <row r="358" spans="5:13">
      <c r="E358" s="13" t="e">
        <v>#N/A</v>
      </c>
      <c r="F358" s="13" t="e">
        <v>#N/A</v>
      </c>
      <c r="G358" s="14" t="e">
        <v>#N/A</v>
      </c>
      <c r="H358" s="14" t="e">
        <v>#N/A</v>
      </c>
      <c r="J358" s="13" t="e">
        <v>#N/A</v>
      </c>
      <c r="K358" s="13" t="e">
        <v>#N/A</v>
      </c>
      <c r="L358" s="14" t="e">
        <v>#N/A</v>
      </c>
      <c r="M358" s="14" t="e">
        <v>#N/A</v>
      </c>
    </row>
    <row r="359" spans="5:13">
      <c r="E359" s="13" t="e">
        <v>#N/A</v>
      </c>
      <c r="F359" s="13" t="e">
        <v>#N/A</v>
      </c>
      <c r="G359" s="14" t="e">
        <v>#N/A</v>
      </c>
      <c r="H359" s="14" t="e">
        <v>#N/A</v>
      </c>
      <c r="J359" s="13" t="e">
        <v>#N/A</v>
      </c>
      <c r="K359" s="13" t="e">
        <v>#N/A</v>
      </c>
      <c r="L359" s="14" t="e">
        <v>#N/A</v>
      </c>
      <c r="M359" s="14" t="e">
        <v>#N/A</v>
      </c>
    </row>
    <row r="360" spans="5:13">
      <c r="E360" s="13" t="e">
        <v>#N/A</v>
      </c>
      <c r="F360" s="13" t="e">
        <v>#N/A</v>
      </c>
      <c r="G360" s="14" t="e">
        <v>#N/A</v>
      </c>
      <c r="H360" s="14" t="e">
        <v>#N/A</v>
      </c>
      <c r="J360" s="13" t="e">
        <v>#N/A</v>
      </c>
      <c r="K360" s="13" t="e">
        <v>#N/A</v>
      </c>
      <c r="L360" s="14" t="e">
        <v>#N/A</v>
      </c>
      <c r="M360" s="14" t="e">
        <v>#N/A</v>
      </c>
    </row>
    <row r="361" spans="5:13">
      <c r="E361" s="13" t="e">
        <v>#N/A</v>
      </c>
      <c r="F361" s="13" t="e">
        <v>#N/A</v>
      </c>
      <c r="G361" s="14" t="e">
        <v>#N/A</v>
      </c>
      <c r="H361" s="14" t="e">
        <v>#N/A</v>
      </c>
      <c r="J361" s="13" t="e">
        <v>#N/A</v>
      </c>
      <c r="K361" s="13" t="e">
        <v>#N/A</v>
      </c>
      <c r="L361" s="14" t="e">
        <v>#N/A</v>
      </c>
      <c r="M361" s="14" t="e">
        <v>#N/A</v>
      </c>
    </row>
    <row r="362" spans="5:13">
      <c r="E362" s="13" t="e">
        <v>#N/A</v>
      </c>
      <c r="F362" s="13" t="e">
        <v>#N/A</v>
      </c>
      <c r="G362" s="14" t="e">
        <v>#N/A</v>
      </c>
      <c r="H362" s="14" t="e">
        <v>#N/A</v>
      </c>
      <c r="J362" s="13" t="e">
        <v>#N/A</v>
      </c>
      <c r="K362" s="13" t="e">
        <v>#N/A</v>
      </c>
      <c r="L362" s="14" t="e">
        <v>#N/A</v>
      </c>
      <c r="M362" s="14" t="e">
        <v>#N/A</v>
      </c>
    </row>
    <row r="363" spans="5:13">
      <c r="E363" s="13" t="e">
        <v>#N/A</v>
      </c>
      <c r="F363" s="13" t="e">
        <v>#N/A</v>
      </c>
      <c r="G363" s="14" t="e">
        <v>#N/A</v>
      </c>
      <c r="H363" s="14" t="e">
        <v>#N/A</v>
      </c>
      <c r="J363" s="13" t="e">
        <v>#N/A</v>
      </c>
      <c r="K363" s="13" t="e">
        <v>#N/A</v>
      </c>
      <c r="L363" s="14" t="e">
        <v>#N/A</v>
      </c>
      <c r="M363" s="14" t="e">
        <v>#N/A</v>
      </c>
    </row>
    <row r="364" spans="5:13">
      <c r="E364" s="13" t="e">
        <v>#N/A</v>
      </c>
      <c r="F364" s="13" t="e">
        <v>#N/A</v>
      </c>
      <c r="G364" s="14" t="e">
        <v>#N/A</v>
      </c>
      <c r="H364" s="14" t="e">
        <v>#N/A</v>
      </c>
      <c r="J364" s="13" t="e">
        <v>#N/A</v>
      </c>
      <c r="K364" s="13" t="e">
        <v>#N/A</v>
      </c>
      <c r="L364" s="14" t="e">
        <v>#N/A</v>
      </c>
      <c r="M364" s="14" t="e">
        <v>#N/A</v>
      </c>
    </row>
    <row r="365" spans="5:13">
      <c r="E365" s="13" t="e">
        <v>#N/A</v>
      </c>
      <c r="F365" s="13" t="e">
        <v>#N/A</v>
      </c>
      <c r="G365" s="14" t="e">
        <v>#N/A</v>
      </c>
      <c r="H365" s="14" t="e">
        <v>#N/A</v>
      </c>
      <c r="J365" s="13" t="e">
        <v>#N/A</v>
      </c>
      <c r="K365" s="13" t="e">
        <v>#N/A</v>
      </c>
      <c r="L365" s="14" t="e">
        <v>#N/A</v>
      </c>
      <c r="M365" s="14" t="e">
        <v>#N/A</v>
      </c>
    </row>
    <row r="366" spans="5:13">
      <c r="E366" s="13" t="e">
        <v>#N/A</v>
      </c>
      <c r="F366" s="13" t="e">
        <v>#N/A</v>
      </c>
      <c r="G366" s="14" t="e">
        <v>#N/A</v>
      </c>
      <c r="H366" s="14" t="e">
        <v>#N/A</v>
      </c>
      <c r="J366" s="13" t="e">
        <v>#N/A</v>
      </c>
      <c r="K366" s="13" t="e">
        <v>#N/A</v>
      </c>
      <c r="L366" s="14" t="e">
        <v>#N/A</v>
      </c>
      <c r="M366" s="14" t="e">
        <v>#N/A</v>
      </c>
    </row>
    <row r="367" spans="5:13">
      <c r="E367" s="13" t="e">
        <v>#N/A</v>
      </c>
      <c r="F367" s="13" t="e">
        <v>#N/A</v>
      </c>
      <c r="G367" s="14" t="e">
        <v>#N/A</v>
      </c>
      <c r="H367" s="14" t="e">
        <v>#N/A</v>
      </c>
      <c r="J367" s="13" t="e">
        <v>#N/A</v>
      </c>
      <c r="K367" s="13" t="e">
        <v>#N/A</v>
      </c>
      <c r="L367" s="14" t="e">
        <v>#N/A</v>
      </c>
      <c r="M367" s="14" t="e">
        <v>#N/A</v>
      </c>
    </row>
    <row r="368" spans="5:13">
      <c r="E368" s="13" t="e">
        <v>#N/A</v>
      </c>
      <c r="F368" s="13" t="e">
        <v>#N/A</v>
      </c>
      <c r="G368" s="14" t="e">
        <v>#N/A</v>
      </c>
      <c r="H368" s="14" t="e">
        <v>#N/A</v>
      </c>
      <c r="J368" s="13" t="e">
        <v>#N/A</v>
      </c>
      <c r="K368" s="13" t="e">
        <v>#N/A</v>
      </c>
      <c r="L368" s="14" t="e">
        <v>#N/A</v>
      </c>
      <c r="M368" s="14" t="e">
        <v>#N/A</v>
      </c>
    </row>
    <row r="369" spans="5:13">
      <c r="E369" s="13" t="e">
        <v>#N/A</v>
      </c>
      <c r="F369" s="13" t="e">
        <v>#N/A</v>
      </c>
      <c r="G369" s="14" t="e">
        <v>#N/A</v>
      </c>
      <c r="H369" s="14" t="e">
        <v>#N/A</v>
      </c>
      <c r="J369" s="13" t="e">
        <v>#N/A</v>
      </c>
      <c r="K369" s="13" t="e">
        <v>#N/A</v>
      </c>
      <c r="L369" s="14" t="e">
        <v>#N/A</v>
      </c>
      <c r="M369" s="14" t="e">
        <v>#N/A</v>
      </c>
    </row>
    <row r="370" spans="5:13">
      <c r="E370" s="13" t="e">
        <v>#N/A</v>
      </c>
      <c r="F370" s="13" t="e">
        <v>#N/A</v>
      </c>
      <c r="G370" s="14" t="e">
        <v>#N/A</v>
      </c>
      <c r="H370" s="14" t="e">
        <v>#N/A</v>
      </c>
      <c r="J370" s="13" t="e">
        <v>#N/A</v>
      </c>
      <c r="K370" s="13" t="e">
        <v>#N/A</v>
      </c>
      <c r="L370" s="14" t="e">
        <v>#N/A</v>
      </c>
      <c r="M370" s="14" t="e">
        <v>#N/A</v>
      </c>
    </row>
    <row r="371" spans="5:13">
      <c r="E371" s="13" t="e">
        <v>#N/A</v>
      </c>
      <c r="F371" s="13" t="e">
        <v>#N/A</v>
      </c>
      <c r="G371" s="14" t="e">
        <v>#N/A</v>
      </c>
      <c r="H371" s="14" t="e">
        <v>#N/A</v>
      </c>
      <c r="J371" s="13" t="e">
        <v>#N/A</v>
      </c>
      <c r="K371" s="13" t="e">
        <v>#N/A</v>
      </c>
      <c r="L371" s="14" t="e">
        <v>#N/A</v>
      </c>
      <c r="M371" s="14" t="e">
        <v>#N/A</v>
      </c>
    </row>
    <row r="372" spans="5:13">
      <c r="E372" s="13" t="e">
        <v>#N/A</v>
      </c>
      <c r="F372" s="13" t="e">
        <v>#N/A</v>
      </c>
      <c r="G372" s="14" t="e">
        <v>#N/A</v>
      </c>
      <c r="H372" s="14" t="e">
        <v>#N/A</v>
      </c>
      <c r="J372" s="13" t="e">
        <v>#N/A</v>
      </c>
      <c r="K372" s="13" t="e">
        <v>#N/A</v>
      </c>
      <c r="L372" s="14" t="e">
        <v>#N/A</v>
      </c>
      <c r="M372" s="14" t="e">
        <v>#N/A</v>
      </c>
    </row>
    <row r="373" spans="5:13">
      <c r="E373" s="13" t="e">
        <v>#N/A</v>
      </c>
      <c r="F373" s="13" t="e">
        <v>#N/A</v>
      </c>
      <c r="G373" s="14" t="e">
        <v>#N/A</v>
      </c>
      <c r="H373" s="14" t="e">
        <v>#N/A</v>
      </c>
      <c r="J373" s="13" t="e">
        <v>#N/A</v>
      </c>
      <c r="K373" s="13" t="e">
        <v>#N/A</v>
      </c>
      <c r="L373" s="14" t="e">
        <v>#N/A</v>
      </c>
      <c r="M373" s="14" t="e">
        <v>#N/A</v>
      </c>
    </row>
    <row r="374" spans="5:13">
      <c r="E374" s="13" t="e">
        <v>#N/A</v>
      </c>
      <c r="F374" s="13" t="e">
        <v>#N/A</v>
      </c>
      <c r="G374" s="14" t="e">
        <v>#N/A</v>
      </c>
      <c r="H374" s="14" t="e">
        <v>#N/A</v>
      </c>
      <c r="J374" s="13" t="e">
        <v>#N/A</v>
      </c>
      <c r="K374" s="13" t="e">
        <v>#N/A</v>
      </c>
      <c r="L374" s="14" t="e">
        <v>#N/A</v>
      </c>
      <c r="M374" s="14" t="e">
        <v>#N/A</v>
      </c>
    </row>
    <row r="375" spans="5:13">
      <c r="E375" s="13" t="e">
        <v>#N/A</v>
      </c>
      <c r="F375" s="13" t="e">
        <v>#N/A</v>
      </c>
      <c r="G375" s="14" t="e">
        <v>#N/A</v>
      </c>
      <c r="H375" s="14" t="e">
        <v>#N/A</v>
      </c>
      <c r="J375" s="13" t="e">
        <v>#N/A</v>
      </c>
      <c r="K375" s="13" t="e">
        <v>#N/A</v>
      </c>
      <c r="L375" s="14" t="e">
        <v>#N/A</v>
      </c>
      <c r="M375" s="14" t="e">
        <v>#N/A</v>
      </c>
    </row>
    <row r="376" spans="5:13">
      <c r="E376" s="13" t="e">
        <v>#N/A</v>
      </c>
      <c r="F376" s="13" t="e">
        <v>#N/A</v>
      </c>
      <c r="G376" s="14" t="e">
        <v>#N/A</v>
      </c>
      <c r="H376" s="14" t="e">
        <v>#N/A</v>
      </c>
      <c r="J376" s="13" t="e">
        <v>#N/A</v>
      </c>
      <c r="K376" s="13" t="e">
        <v>#N/A</v>
      </c>
      <c r="L376" s="14" t="e">
        <v>#N/A</v>
      </c>
      <c r="M376" s="14" t="e">
        <v>#N/A</v>
      </c>
    </row>
    <row r="377" spans="5:13">
      <c r="E377" s="13" t="e">
        <v>#N/A</v>
      </c>
      <c r="F377" s="13" t="e">
        <v>#N/A</v>
      </c>
      <c r="G377" s="14" t="e">
        <v>#N/A</v>
      </c>
      <c r="H377" s="14" t="e">
        <v>#N/A</v>
      </c>
      <c r="J377" s="13" t="e">
        <v>#N/A</v>
      </c>
      <c r="K377" s="13" t="e">
        <v>#N/A</v>
      </c>
      <c r="L377" s="14" t="e">
        <v>#N/A</v>
      </c>
      <c r="M377" s="14" t="e">
        <v>#N/A</v>
      </c>
    </row>
    <row r="378" spans="5:13">
      <c r="E378" s="13" t="e">
        <v>#N/A</v>
      </c>
      <c r="F378" s="13" t="e">
        <v>#N/A</v>
      </c>
      <c r="G378" s="14" t="e">
        <v>#N/A</v>
      </c>
      <c r="H378" s="14" t="e">
        <v>#N/A</v>
      </c>
      <c r="J378" s="13" t="e">
        <v>#N/A</v>
      </c>
      <c r="K378" s="13" t="e">
        <v>#N/A</v>
      </c>
      <c r="L378" s="14" t="e">
        <v>#N/A</v>
      </c>
      <c r="M378" s="14" t="e">
        <v>#N/A</v>
      </c>
    </row>
    <row r="379" spans="5:13">
      <c r="E379" s="13" t="e">
        <v>#N/A</v>
      </c>
      <c r="F379" s="13" t="e">
        <v>#N/A</v>
      </c>
      <c r="G379" s="14" t="e">
        <v>#N/A</v>
      </c>
      <c r="H379" s="14" t="e">
        <v>#N/A</v>
      </c>
      <c r="J379" s="13" t="e">
        <v>#N/A</v>
      </c>
      <c r="K379" s="13" t="e">
        <v>#N/A</v>
      </c>
      <c r="L379" s="14" t="e">
        <v>#N/A</v>
      </c>
      <c r="M379" s="14" t="e">
        <v>#N/A</v>
      </c>
    </row>
    <row r="380" spans="5:13">
      <c r="E380" s="13" t="e">
        <v>#N/A</v>
      </c>
      <c r="F380" s="13" t="e">
        <v>#N/A</v>
      </c>
      <c r="G380" s="14" t="e">
        <v>#N/A</v>
      </c>
      <c r="H380" s="14" t="e">
        <v>#N/A</v>
      </c>
      <c r="J380" s="13" t="e">
        <v>#N/A</v>
      </c>
      <c r="K380" s="13" t="e">
        <v>#N/A</v>
      </c>
      <c r="L380" s="14" t="e">
        <v>#N/A</v>
      </c>
      <c r="M380" s="14" t="e">
        <v>#N/A</v>
      </c>
    </row>
    <row r="381" spans="5:13">
      <c r="E381" s="13" t="e">
        <v>#N/A</v>
      </c>
      <c r="F381" s="13" t="e">
        <v>#N/A</v>
      </c>
      <c r="G381" s="14" t="e">
        <v>#N/A</v>
      </c>
      <c r="H381" s="14" t="e">
        <v>#N/A</v>
      </c>
      <c r="J381" s="13" t="e">
        <v>#N/A</v>
      </c>
      <c r="K381" s="13" t="e">
        <v>#N/A</v>
      </c>
      <c r="L381" s="14" t="e">
        <v>#N/A</v>
      </c>
      <c r="M381" s="14" t="e">
        <v>#N/A</v>
      </c>
    </row>
    <row r="382" spans="5:13">
      <c r="E382" s="13" t="e">
        <v>#N/A</v>
      </c>
      <c r="F382" s="13" t="e">
        <v>#N/A</v>
      </c>
      <c r="G382" s="14" t="e">
        <v>#N/A</v>
      </c>
      <c r="H382" s="14" t="e">
        <v>#N/A</v>
      </c>
      <c r="J382" s="13" t="e">
        <v>#N/A</v>
      </c>
      <c r="K382" s="13" t="e">
        <v>#N/A</v>
      </c>
      <c r="L382" s="14" t="e">
        <v>#N/A</v>
      </c>
      <c r="M382" s="14" t="e">
        <v>#N/A</v>
      </c>
    </row>
    <row r="383" spans="5:13">
      <c r="E383" s="13" t="e">
        <v>#N/A</v>
      </c>
      <c r="F383" s="13" t="e">
        <v>#N/A</v>
      </c>
      <c r="G383" s="14" t="e">
        <v>#N/A</v>
      </c>
      <c r="H383" s="14" t="e">
        <v>#N/A</v>
      </c>
      <c r="J383" s="13" t="e">
        <v>#N/A</v>
      </c>
      <c r="K383" s="13" t="e">
        <v>#N/A</v>
      </c>
      <c r="L383" s="14" t="e">
        <v>#N/A</v>
      </c>
      <c r="M383" s="14" t="e">
        <v>#N/A</v>
      </c>
    </row>
    <row r="384" spans="5:13">
      <c r="E384" s="13" t="e">
        <v>#N/A</v>
      </c>
      <c r="F384" s="13" t="e">
        <v>#N/A</v>
      </c>
      <c r="G384" s="14" t="e">
        <v>#N/A</v>
      </c>
      <c r="H384" s="14" t="e">
        <v>#N/A</v>
      </c>
      <c r="J384" s="13" t="e">
        <v>#N/A</v>
      </c>
      <c r="K384" s="13" t="e">
        <v>#N/A</v>
      </c>
      <c r="L384" s="14" t="e">
        <v>#N/A</v>
      </c>
      <c r="M384" s="14" t="e">
        <v>#N/A</v>
      </c>
    </row>
    <row r="385" spans="5:13">
      <c r="E385" s="13" t="e">
        <v>#N/A</v>
      </c>
      <c r="F385" s="13" t="e">
        <v>#N/A</v>
      </c>
      <c r="G385" s="14" t="e">
        <v>#N/A</v>
      </c>
      <c r="H385" s="14" t="e">
        <v>#N/A</v>
      </c>
      <c r="J385" s="13" t="e">
        <v>#N/A</v>
      </c>
      <c r="K385" s="13" t="e">
        <v>#N/A</v>
      </c>
      <c r="L385" s="14" t="e">
        <v>#N/A</v>
      </c>
      <c r="M385" s="14" t="e">
        <v>#N/A</v>
      </c>
    </row>
    <row r="386" spans="5:13">
      <c r="E386" s="13" t="e">
        <v>#N/A</v>
      </c>
      <c r="F386" s="13" t="e">
        <v>#N/A</v>
      </c>
      <c r="G386" s="14" t="e">
        <v>#N/A</v>
      </c>
      <c r="H386" s="14" t="e">
        <v>#N/A</v>
      </c>
      <c r="J386" s="13" t="e">
        <v>#N/A</v>
      </c>
      <c r="K386" s="13" t="e">
        <v>#N/A</v>
      </c>
      <c r="L386" s="14" t="e">
        <v>#N/A</v>
      </c>
      <c r="M386" s="14" t="e">
        <v>#N/A</v>
      </c>
    </row>
    <row r="387" spans="5:13">
      <c r="E387" s="13" t="e">
        <v>#N/A</v>
      </c>
      <c r="F387" s="13" t="e">
        <v>#N/A</v>
      </c>
      <c r="G387" s="14" t="e">
        <v>#N/A</v>
      </c>
      <c r="H387" s="14" t="e">
        <v>#N/A</v>
      </c>
      <c r="J387" s="13" t="e">
        <v>#N/A</v>
      </c>
      <c r="K387" s="13" t="e">
        <v>#N/A</v>
      </c>
      <c r="L387" s="14" t="e">
        <v>#N/A</v>
      </c>
      <c r="M387" s="14" t="e">
        <v>#N/A</v>
      </c>
    </row>
    <row r="388" spans="5:13">
      <c r="E388" s="13" t="e">
        <v>#N/A</v>
      </c>
      <c r="F388" s="13" t="e">
        <v>#N/A</v>
      </c>
      <c r="G388" s="14" t="e">
        <v>#N/A</v>
      </c>
      <c r="H388" s="14" t="e">
        <v>#N/A</v>
      </c>
      <c r="J388" s="13" t="e">
        <v>#N/A</v>
      </c>
      <c r="K388" s="13" t="e">
        <v>#N/A</v>
      </c>
      <c r="L388" s="14" t="e">
        <v>#N/A</v>
      </c>
      <c r="M388" s="14" t="e">
        <v>#N/A</v>
      </c>
    </row>
    <row r="389" spans="5:13">
      <c r="E389" s="13" t="e">
        <v>#N/A</v>
      </c>
      <c r="F389" s="13" t="e">
        <v>#N/A</v>
      </c>
      <c r="G389" s="14" t="e">
        <v>#N/A</v>
      </c>
      <c r="H389" s="14" t="e">
        <v>#N/A</v>
      </c>
      <c r="J389" s="13" t="e">
        <v>#N/A</v>
      </c>
      <c r="K389" s="13" t="e">
        <v>#N/A</v>
      </c>
      <c r="L389" s="14" t="e">
        <v>#N/A</v>
      </c>
      <c r="M389" s="14" t="e">
        <v>#N/A</v>
      </c>
    </row>
    <row r="390" spans="5:13">
      <c r="E390" s="13" t="e">
        <v>#N/A</v>
      </c>
      <c r="F390" s="13" t="e">
        <v>#N/A</v>
      </c>
      <c r="G390" s="14" t="e">
        <v>#N/A</v>
      </c>
      <c r="H390" s="14" t="e">
        <v>#N/A</v>
      </c>
      <c r="J390" s="13" t="e">
        <v>#N/A</v>
      </c>
      <c r="K390" s="13" t="e">
        <v>#N/A</v>
      </c>
      <c r="L390" s="14" t="e">
        <v>#N/A</v>
      </c>
      <c r="M390" s="14" t="e">
        <v>#N/A</v>
      </c>
    </row>
    <row r="391" spans="5:13">
      <c r="E391" s="13" t="e">
        <v>#N/A</v>
      </c>
      <c r="F391" s="13" t="e">
        <v>#N/A</v>
      </c>
      <c r="G391" s="14" t="e">
        <v>#N/A</v>
      </c>
      <c r="H391" s="14" t="e">
        <v>#N/A</v>
      </c>
      <c r="J391" s="13" t="e">
        <v>#N/A</v>
      </c>
      <c r="K391" s="13" t="e">
        <v>#N/A</v>
      </c>
      <c r="L391" s="14" t="e">
        <v>#N/A</v>
      </c>
      <c r="M391" s="14" t="e">
        <v>#N/A</v>
      </c>
    </row>
    <row r="392" spans="5:13">
      <c r="E392" s="13" t="e">
        <v>#N/A</v>
      </c>
      <c r="F392" s="13" t="e">
        <v>#N/A</v>
      </c>
      <c r="G392" s="14" t="e">
        <v>#N/A</v>
      </c>
      <c r="H392" s="14" t="e">
        <v>#N/A</v>
      </c>
      <c r="J392" s="13" t="e">
        <v>#N/A</v>
      </c>
      <c r="K392" s="13" t="e">
        <v>#N/A</v>
      </c>
      <c r="L392" s="14" t="e">
        <v>#N/A</v>
      </c>
      <c r="M392" s="14" t="e">
        <v>#N/A</v>
      </c>
    </row>
    <row r="393" spans="5:13">
      <c r="E393" s="13" t="e">
        <v>#N/A</v>
      </c>
      <c r="F393" s="13" t="e">
        <v>#N/A</v>
      </c>
      <c r="G393" s="14" t="e">
        <v>#N/A</v>
      </c>
      <c r="H393" s="14" t="e">
        <v>#N/A</v>
      </c>
      <c r="J393" s="13" t="e">
        <v>#N/A</v>
      </c>
      <c r="K393" s="13" t="e">
        <v>#N/A</v>
      </c>
      <c r="L393" s="14" t="e">
        <v>#N/A</v>
      </c>
      <c r="M393" s="14" t="e">
        <v>#N/A</v>
      </c>
    </row>
    <row r="394" spans="5:13">
      <c r="E394" s="13" t="e">
        <v>#N/A</v>
      </c>
      <c r="F394" s="13" t="e">
        <v>#N/A</v>
      </c>
      <c r="G394" s="14" t="e">
        <v>#N/A</v>
      </c>
      <c r="H394" s="14" t="e">
        <v>#N/A</v>
      </c>
      <c r="J394" s="13" t="e">
        <v>#N/A</v>
      </c>
      <c r="K394" s="13" t="e">
        <v>#N/A</v>
      </c>
      <c r="L394" s="14" t="e">
        <v>#N/A</v>
      </c>
      <c r="M394" s="14" t="e">
        <v>#N/A</v>
      </c>
    </row>
    <row r="395" spans="5:13">
      <c r="E395" s="13" t="e">
        <v>#N/A</v>
      </c>
      <c r="F395" s="13" t="e">
        <v>#N/A</v>
      </c>
      <c r="G395" s="14" t="e">
        <v>#N/A</v>
      </c>
      <c r="H395" s="14" t="e">
        <v>#N/A</v>
      </c>
      <c r="J395" s="13" t="e">
        <v>#N/A</v>
      </c>
      <c r="K395" s="13" t="e">
        <v>#N/A</v>
      </c>
      <c r="L395" s="14" t="e">
        <v>#N/A</v>
      </c>
      <c r="M395" s="14" t="e">
        <v>#N/A</v>
      </c>
    </row>
    <row r="396" spans="5:13">
      <c r="E396" s="13" t="e">
        <v>#N/A</v>
      </c>
      <c r="F396" s="13" t="e">
        <v>#N/A</v>
      </c>
      <c r="G396" s="14" t="e">
        <v>#N/A</v>
      </c>
      <c r="H396" s="14" t="e">
        <v>#N/A</v>
      </c>
      <c r="J396" s="13" t="e">
        <v>#N/A</v>
      </c>
      <c r="K396" s="13" t="e">
        <v>#N/A</v>
      </c>
      <c r="L396" s="14" t="e">
        <v>#N/A</v>
      </c>
      <c r="M396" s="14" t="e">
        <v>#N/A</v>
      </c>
    </row>
    <row r="397" spans="5:13">
      <c r="E397" s="13" t="e">
        <v>#N/A</v>
      </c>
      <c r="F397" s="13" t="e">
        <v>#N/A</v>
      </c>
      <c r="G397" s="14" t="e">
        <v>#N/A</v>
      </c>
      <c r="H397" s="14" t="e">
        <v>#N/A</v>
      </c>
      <c r="J397" s="13" t="e">
        <v>#N/A</v>
      </c>
      <c r="K397" s="13" t="e">
        <v>#N/A</v>
      </c>
      <c r="L397" s="14" t="e">
        <v>#N/A</v>
      </c>
      <c r="M397" s="14" t="e">
        <v>#N/A</v>
      </c>
    </row>
    <row r="398" spans="5:13">
      <c r="E398" s="13" t="e">
        <v>#N/A</v>
      </c>
      <c r="F398" s="13" t="e">
        <v>#N/A</v>
      </c>
      <c r="G398" s="14" t="e">
        <v>#N/A</v>
      </c>
      <c r="H398" s="14" t="e">
        <v>#N/A</v>
      </c>
      <c r="J398" s="13" t="e">
        <v>#N/A</v>
      </c>
      <c r="K398" s="13" t="e">
        <v>#N/A</v>
      </c>
      <c r="L398" s="14" t="e">
        <v>#N/A</v>
      </c>
      <c r="M398" s="14" t="e">
        <v>#N/A</v>
      </c>
    </row>
    <row r="399" spans="5:13">
      <c r="E399" s="13" t="e">
        <v>#N/A</v>
      </c>
      <c r="F399" s="13" t="e">
        <v>#N/A</v>
      </c>
      <c r="G399" s="14" t="e">
        <v>#N/A</v>
      </c>
      <c r="H399" s="14" t="e">
        <v>#N/A</v>
      </c>
      <c r="J399" s="13" t="e">
        <v>#N/A</v>
      </c>
      <c r="K399" s="13" t="e">
        <v>#N/A</v>
      </c>
      <c r="L399" s="14" t="e">
        <v>#N/A</v>
      </c>
      <c r="M399" s="14" t="e">
        <v>#N/A</v>
      </c>
    </row>
    <row r="400" spans="5:13">
      <c r="E400" s="13" t="e">
        <v>#N/A</v>
      </c>
      <c r="F400" s="13" t="e">
        <v>#N/A</v>
      </c>
      <c r="G400" s="14" t="e">
        <v>#N/A</v>
      </c>
      <c r="H400" s="14" t="e">
        <v>#N/A</v>
      </c>
      <c r="J400" s="13" t="e">
        <v>#N/A</v>
      </c>
      <c r="K400" s="13" t="e">
        <v>#N/A</v>
      </c>
      <c r="L400" s="14" t="e">
        <v>#N/A</v>
      </c>
      <c r="M400" s="14" t="e">
        <v>#N/A</v>
      </c>
    </row>
    <row r="401" spans="5:13">
      <c r="E401" s="13" t="e">
        <v>#N/A</v>
      </c>
      <c r="F401" s="13" t="e">
        <v>#N/A</v>
      </c>
      <c r="G401" s="14" t="e">
        <v>#N/A</v>
      </c>
      <c r="H401" s="14" t="e">
        <v>#N/A</v>
      </c>
      <c r="J401" s="13" t="e">
        <v>#N/A</v>
      </c>
      <c r="K401" s="13" t="e">
        <v>#N/A</v>
      </c>
      <c r="L401" s="14" t="e">
        <v>#N/A</v>
      </c>
      <c r="M401" s="14" t="e">
        <v>#N/A</v>
      </c>
    </row>
    <row r="402" spans="5:13">
      <c r="E402" s="13" t="e">
        <v>#N/A</v>
      </c>
      <c r="F402" s="13" t="e">
        <v>#N/A</v>
      </c>
      <c r="G402" s="14" t="e">
        <v>#N/A</v>
      </c>
      <c r="H402" s="14" t="e">
        <v>#N/A</v>
      </c>
      <c r="J402" s="13" t="e">
        <v>#N/A</v>
      </c>
      <c r="K402" s="13" t="e">
        <v>#N/A</v>
      </c>
      <c r="L402" s="14" t="e">
        <v>#N/A</v>
      </c>
      <c r="M402" s="14" t="e">
        <v>#N/A</v>
      </c>
    </row>
    <row r="403" spans="5:13">
      <c r="E403" s="13" t="e">
        <v>#N/A</v>
      </c>
      <c r="F403" s="13" t="e">
        <v>#N/A</v>
      </c>
      <c r="G403" s="14" t="e">
        <v>#N/A</v>
      </c>
      <c r="H403" s="14" t="e">
        <v>#N/A</v>
      </c>
      <c r="J403" s="13" t="e">
        <v>#N/A</v>
      </c>
      <c r="K403" s="13" t="e">
        <v>#N/A</v>
      </c>
      <c r="L403" s="14" t="e">
        <v>#N/A</v>
      </c>
      <c r="M403" s="14" t="e">
        <v>#N/A</v>
      </c>
    </row>
    <row r="404" spans="5:13">
      <c r="E404" s="13" t="e">
        <v>#N/A</v>
      </c>
      <c r="F404" s="13" t="e">
        <v>#N/A</v>
      </c>
      <c r="G404" s="14" t="e">
        <v>#N/A</v>
      </c>
      <c r="H404" s="14" t="e">
        <v>#N/A</v>
      </c>
      <c r="J404" s="13" t="e">
        <v>#N/A</v>
      </c>
      <c r="K404" s="13" t="e">
        <v>#N/A</v>
      </c>
      <c r="L404" s="14" t="e">
        <v>#N/A</v>
      </c>
      <c r="M404" s="14" t="e">
        <v>#N/A</v>
      </c>
    </row>
    <row r="405" spans="5:13">
      <c r="E405" s="13" t="e">
        <v>#N/A</v>
      </c>
      <c r="F405" s="13" t="e">
        <v>#N/A</v>
      </c>
      <c r="G405" s="14" t="e">
        <v>#N/A</v>
      </c>
      <c r="H405" s="14" t="e">
        <v>#N/A</v>
      </c>
      <c r="J405" s="13" t="e">
        <v>#N/A</v>
      </c>
      <c r="K405" s="13" t="e">
        <v>#N/A</v>
      </c>
      <c r="L405" s="14" t="e">
        <v>#N/A</v>
      </c>
      <c r="M405" s="14" t="e">
        <v>#N/A</v>
      </c>
    </row>
    <row r="406" spans="5:13">
      <c r="E406" s="13" t="e">
        <v>#N/A</v>
      </c>
      <c r="F406" s="13" t="e">
        <v>#N/A</v>
      </c>
      <c r="G406" s="14" t="e">
        <v>#N/A</v>
      </c>
      <c r="H406" s="14" t="e">
        <v>#N/A</v>
      </c>
      <c r="J406" s="13" t="e">
        <v>#N/A</v>
      </c>
      <c r="K406" s="13" t="e">
        <v>#N/A</v>
      </c>
      <c r="L406" s="14" t="e">
        <v>#N/A</v>
      </c>
      <c r="M406" s="14" t="e">
        <v>#N/A</v>
      </c>
    </row>
    <row r="407" spans="5:13">
      <c r="E407" s="13" t="e">
        <v>#N/A</v>
      </c>
      <c r="F407" s="13" t="e">
        <v>#N/A</v>
      </c>
      <c r="G407" s="14" t="e">
        <v>#N/A</v>
      </c>
      <c r="H407" s="14" t="e">
        <v>#N/A</v>
      </c>
      <c r="J407" s="13" t="e">
        <v>#N/A</v>
      </c>
      <c r="K407" s="13" t="e">
        <v>#N/A</v>
      </c>
      <c r="L407" s="14" t="e">
        <v>#N/A</v>
      </c>
      <c r="M407" s="14" t="e">
        <v>#N/A</v>
      </c>
    </row>
    <row r="408" spans="5:13">
      <c r="E408" s="13" t="e">
        <v>#N/A</v>
      </c>
      <c r="F408" s="13" t="e">
        <v>#N/A</v>
      </c>
      <c r="G408" s="14" t="e">
        <v>#N/A</v>
      </c>
      <c r="H408" s="14" t="e">
        <v>#N/A</v>
      </c>
      <c r="J408" s="13" t="e">
        <v>#N/A</v>
      </c>
      <c r="K408" s="13" t="e">
        <v>#N/A</v>
      </c>
      <c r="L408" s="14" t="e">
        <v>#N/A</v>
      </c>
      <c r="M408" s="14" t="e">
        <v>#N/A</v>
      </c>
    </row>
    <row r="409" spans="5:13">
      <c r="E409" s="13" t="e">
        <v>#N/A</v>
      </c>
      <c r="F409" s="13" t="e">
        <v>#N/A</v>
      </c>
      <c r="G409" s="14" t="e">
        <v>#N/A</v>
      </c>
      <c r="H409" s="14" t="e">
        <v>#N/A</v>
      </c>
      <c r="J409" s="13" t="e">
        <v>#N/A</v>
      </c>
      <c r="K409" s="13" t="e">
        <v>#N/A</v>
      </c>
      <c r="L409" s="14" t="e">
        <v>#N/A</v>
      </c>
      <c r="M409" s="14" t="e">
        <v>#N/A</v>
      </c>
    </row>
    <row r="410" spans="5:13">
      <c r="E410" s="13" t="e">
        <v>#N/A</v>
      </c>
      <c r="F410" s="13" t="e">
        <v>#N/A</v>
      </c>
      <c r="G410" s="14" t="e">
        <v>#N/A</v>
      </c>
      <c r="H410" s="14" t="e">
        <v>#N/A</v>
      </c>
      <c r="J410" s="13" t="e">
        <v>#N/A</v>
      </c>
      <c r="K410" s="13" t="e">
        <v>#N/A</v>
      </c>
      <c r="L410" s="14" t="e">
        <v>#N/A</v>
      </c>
      <c r="M410" s="14" t="e">
        <v>#N/A</v>
      </c>
    </row>
    <row r="411" spans="5:13">
      <c r="E411" s="13" t="e">
        <v>#N/A</v>
      </c>
      <c r="F411" s="13" t="e">
        <v>#N/A</v>
      </c>
      <c r="G411" s="14" t="e">
        <v>#N/A</v>
      </c>
      <c r="H411" s="14" t="e">
        <v>#N/A</v>
      </c>
      <c r="J411" s="13" t="e">
        <v>#N/A</v>
      </c>
      <c r="K411" s="13" t="e">
        <v>#N/A</v>
      </c>
      <c r="L411" s="14" t="e">
        <v>#N/A</v>
      </c>
      <c r="M411" s="14" t="e">
        <v>#N/A</v>
      </c>
    </row>
    <row r="412" spans="5:13">
      <c r="E412" s="13" t="e">
        <v>#N/A</v>
      </c>
      <c r="F412" s="13" t="e">
        <v>#N/A</v>
      </c>
      <c r="G412" s="14" t="e">
        <v>#N/A</v>
      </c>
      <c r="H412" s="14" t="e">
        <v>#N/A</v>
      </c>
      <c r="J412" s="13" t="e">
        <v>#N/A</v>
      </c>
      <c r="K412" s="13" t="e">
        <v>#N/A</v>
      </c>
      <c r="L412" s="14" t="e">
        <v>#N/A</v>
      </c>
      <c r="M412" s="14" t="e">
        <v>#N/A</v>
      </c>
    </row>
    <row r="413" spans="5:13">
      <c r="E413" s="13" t="e">
        <v>#N/A</v>
      </c>
      <c r="F413" s="13" t="e">
        <v>#N/A</v>
      </c>
      <c r="G413" s="14" t="e">
        <v>#N/A</v>
      </c>
      <c r="H413" s="14" t="e">
        <v>#N/A</v>
      </c>
      <c r="J413" s="13" t="e">
        <v>#N/A</v>
      </c>
      <c r="K413" s="13" t="e">
        <v>#N/A</v>
      </c>
      <c r="L413" s="14" t="e">
        <v>#N/A</v>
      </c>
      <c r="M413" s="14" t="e">
        <v>#N/A</v>
      </c>
    </row>
    <row r="414" spans="5:13">
      <c r="E414" s="13" t="e">
        <v>#N/A</v>
      </c>
      <c r="F414" s="13" t="e">
        <v>#N/A</v>
      </c>
      <c r="G414" s="14" t="e">
        <v>#N/A</v>
      </c>
      <c r="H414" s="14" t="e">
        <v>#N/A</v>
      </c>
      <c r="J414" s="13" t="e">
        <v>#N/A</v>
      </c>
      <c r="K414" s="13" t="e">
        <v>#N/A</v>
      </c>
      <c r="L414" s="14" t="e">
        <v>#N/A</v>
      </c>
      <c r="M414" s="14" t="e">
        <v>#N/A</v>
      </c>
    </row>
    <row r="415" spans="5:13">
      <c r="E415" s="13" t="e">
        <v>#N/A</v>
      </c>
      <c r="F415" s="13" t="e">
        <v>#N/A</v>
      </c>
      <c r="G415" s="14" t="e">
        <v>#N/A</v>
      </c>
      <c r="H415" s="14" t="e">
        <v>#N/A</v>
      </c>
      <c r="J415" s="13" t="e">
        <v>#N/A</v>
      </c>
      <c r="K415" s="13" t="e">
        <v>#N/A</v>
      </c>
      <c r="L415" s="14" t="e">
        <v>#N/A</v>
      </c>
      <c r="M415" s="14" t="e">
        <v>#N/A</v>
      </c>
    </row>
    <row r="416" spans="5:13">
      <c r="E416" s="13" t="e">
        <v>#N/A</v>
      </c>
      <c r="F416" s="13" t="e">
        <v>#N/A</v>
      </c>
      <c r="G416" s="14" t="e">
        <v>#N/A</v>
      </c>
      <c r="H416" s="14" t="e">
        <v>#N/A</v>
      </c>
      <c r="J416" s="13" t="e">
        <v>#N/A</v>
      </c>
      <c r="K416" s="13" t="e">
        <v>#N/A</v>
      </c>
      <c r="L416" s="14" t="e">
        <v>#N/A</v>
      </c>
      <c r="M416" s="14" t="e">
        <v>#N/A</v>
      </c>
    </row>
    <row r="417" spans="5:13">
      <c r="E417" s="13" t="e">
        <v>#N/A</v>
      </c>
      <c r="F417" s="13" t="e">
        <v>#N/A</v>
      </c>
      <c r="G417" s="14" t="e">
        <v>#N/A</v>
      </c>
      <c r="H417" s="14" t="e">
        <v>#N/A</v>
      </c>
      <c r="J417" s="13" t="e">
        <v>#N/A</v>
      </c>
      <c r="K417" s="13" t="e">
        <v>#N/A</v>
      </c>
      <c r="L417" s="14" t="e">
        <v>#N/A</v>
      </c>
      <c r="M417" s="14" t="e">
        <v>#N/A</v>
      </c>
    </row>
    <row r="418" spans="5:13">
      <c r="E418" s="13" t="e">
        <v>#N/A</v>
      </c>
      <c r="F418" s="13" t="e">
        <v>#N/A</v>
      </c>
      <c r="G418" s="14" t="e">
        <v>#N/A</v>
      </c>
      <c r="H418" s="14" t="e">
        <v>#N/A</v>
      </c>
      <c r="J418" s="13" t="e">
        <v>#N/A</v>
      </c>
      <c r="K418" s="13" t="e">
        <v>#N/A</v>
      </c>
      <c r="L418" s="14" t="e">
        <v>#N/A</v>
      </c>
      <c r="M418" s="14" t="e">
        <v>#N/A</v>
      </c>
    </row>
    <row r="419" spans="5:13">
      <c r="E419" s="13" t="e">
        <v>#N/A</v>
      </c>
      <c r="F419" s="13" t="e">
        <v>#N/A</v>
      </c>
      <c r="G419" s="14" t="e">
        <v>#N/A</v>
      </c>
      <c r="H419" s="14" t="e">
        <v>#N/A</v>
      </c>
      <c r="J419" s="13" t="e">
        <v>#N/A</v>
      </c>
      <c r="K419" s="13" t="e">
        <v>#N/A</v>
      </c>
      <c r="L419" s="14" t="e">
        <v>#N/A</v>
      </c>
      <c r="M419" s="14" t="e">
        <v>#N/A</v>
      </c>
    </row>
    <row r="420" spans="5:13">
      <c r="E420" s="13" t="e">
        <v>#N/A</v>
      </c>
      <c r="F420" s="13" t="e">
        <v>#N/A</v>
      </c>
      <c r="G420" s="14" t="e">
        <v>#N/A</v>
      </c>
      <c r="H420" s="14" t="e">
        <v>#N/A</v>
      </c>
      <c r="J420" s="13" t="e">
        <v>#N/A</v>
      </c>
      <c r="K420" s="13" t="e">
        <v>#N/A</v>
      </c>
      <c r="L420" s="14" t="e">
        <v>#N/A</v>
      </c>
      <c r="M420" s="14" t="e">
        <v>#N/A</v>
      </c>
    </row>
    <row r="421" spans="5:13">
      <c r="E421" s="13" t="e">
        <v>#N/A</v>
      </c>
      <c r="F421" s="13" t="e">
        <v>#N/A</v>
      </c>
      <c r="G421" s="14" t="e">
        <v>#N/A</v>
      </c>
      <c r="H421" s="14" t="e">
        <v>#N/A</v>
      </c>
      <c r="J421" s="13" t="e">
        <v>#N/A</v>
      </c>
      <c r="K421" s="13" t="e">
        <v>#N/A</v>
      </c>
      <c r="L421" s="14" t="e">
        <v>#N/A</v>
      </c>
      <c r="M421" s="14" t="e">
        <v>#N/A</v>
      </c>
    </row>
    <row r="422" spans="5:13">
      <c r="E422" s="13" t="e">
        <v>#N/A</v>
      </c>
      <c r="F422" s="13" t="e">
        <v>#N/A</v>
      </c>
      <c r="G422" s="14" t="e">
        <v>#N/A</v>
      </c>
      <c r="H422" s="14" t="e">
        <v>#N/A</v>
      </c>
      <c r="J422" s="13" t="e">
        <v>#N/A</v>
      </c>
      <c r="K422" s="13" t="e">
        <v>#N/A</v>
      </c>
      <c r="L422" s="14" t="e">
        <v>#N/A</v>
      </c>
      <c r="M422" s="14" t="e">
        <v>#N/A</v>
      </c>
    </row>
    <row r="423" spans="5:13">
      <c r="E423" s="13" t="e">
        <v>#N/A</v>
      </c>
      <c r="F423" s="13" t="e">
        <v>#N/A</v>
      </c>
      <c r="G423" s="14" t="e">
        <v>#N/A</v>
      </c>
      <c r="H423" s="14" t="e">
        <v>#N/A</v>
      </c>
      <c r="J423" s="13" t="e">
        <v>#N/A</v>
      </c>
      <c r="K423" s="13" t="e">
        <v>#N/A</v>
      </c>
      <c r="L423" s="14" t="e">
        <v>#N/A</v>
      </c>
      <c r="M423" s="14" t="e">
        <v>#N/A</v>
      </c>
    </row>
    <row r="424" spans="5:13">
      <c r="E424" s="13" t="e">
        <v>#N/A</v>
      </c>
      <c r="F424" s="13" t="e">
        <v>#N/A</v>
      </c>
      <c r="G424" s="14" t="e">
        <v>#N/A</v>
      </c>
      <c r="H424" s="14" t="e">
        <v>#N/A</v>
      </c>
      <c r="J424" s="13" t="e">
        <v>#N/A</v>
      </c>
      <c r="K424" s="13" t="e">
        <v>#N/A</v>
      </c>
      <c r="L424" s="14" t="e">
        <v>#N/A</v>
      </c>
      <c r="M424" s="14" t="e">
        <v>#N/A</v>
      </c>
    </row>
    <row r="425" spans="5:13">
      <c r="E425" s="13" t="e">
        <v>#N/A</v>
      </c>
      <c r="F425" s="13" t="e">
        <v>#N/A</v>
      </c>
      <c r="G425" s="14" t="e">
        <v>#N/A</v>
      </c>
      <c r="H425" s="14" t="e">
        <v>#N/A</v>
      </c>
      <c r="J425" s="13" t="e">
        <v>#N/A</v>
      </c>
      <c r="K425" s="13" t="e">
        <v>#N/A</v>
      </c>
      <c r="L425" s="14" t="e">
        <v>#N/A</v>
      </c>
      <c r="M425" s="14" t="e">
        <v>#N/A</v>
      </c>
    </row>
    <row r="426" spans="5:13">
      <c r="E426" s="13" t="e">
        <v>#N/A</v>
      </c>
      <c r="F426" s="13" t="e">
        <v>#N/A</v>
      </c>
      <c r="G426" s="14" t="e">
        <v>#N/A</v>
      </c>
      <c r="H426" s="14" t="e">
        <v>#N/A</v>
      </c>
      <c r="J426" s="13" t="e">
        <v>#N/A</v>
      </c>
      <c r="K426" s="13" t="e">
        <v>#N/A</v>
      </c>
      <c r="L426" s="14" t="e">
        <v>#N/A</v>
      </c>
      <c r="M426" s="14" t="e">
        <v>#N/A</v>
      </c>
    </row>
    <row r="427" spans="5:13">
      <c r="E427" s="13" t="e">
        <v>#N/A</v>
      </c>
      <c r="F427" s="13" t="e">
        <v>#N/A</v>
      </c>
      <c r="G427" s="14" t="e">
        <v>#N/A</v>
      </c>
      <c r="H427" s="14" t="e">
        <v>#N/A</v>
      </c>
      <c r="J427" s="13" t="e">
        <v>#N/A</v>
      </c>
      <c r="K427" s="13" t="e">
        <v>#N/A</v>
      </c>
      <c r="L427" s="14" t="e">
        <v>#N/A</v>
      </c>
      <c r="M427" s="14" t="e">
        <v>#N/A</v>
      </c>
    </row>
    <row r="428" spans="5:13">
      <c r="E428" s="13" t="e">
        <v>#N/A</v>
      </c>
      <c r="F428" s="13" t="e">
        <v>#N/A</v>
      </c>
      <c r="G428" s="14" t="e">
        <v>#N/A</v>
      </c>
      <c r="H428" s="14" t="e">
        <v>#N/A</v>
      </c>
      <c r="J428" s="13" t="e">
        <v>#N/A</v>
      </c>
      <c r="K428" s="13" t="e">
        <v>#N/A</v>
      </c>
      <c r="L428" s="14" t="e">
        <v>#N/A</v>
      </c>
      <c r="M428" s="14" t="e">
        <v>#N/A</v>
      </c>
    </row>
    <row r="429" spans="5:13">
      <c r="E429" s="13" t="e">
        <v>#N/A</v>
      </c>
      <c r="F429" s="13" t="e">
        <v>#N/A</v>
      </c>
      <c r="G429" s="14" t="e">
        <v>#N/A</v>
      </c>
      <c r="H429" s="14" t="e">
        <v>#N/A</v>
      </c>
      <c r="J429" s="13" t="e">
        <v>#N/A</v>
      </c>
      <c r="K429" s="13" t="e">
        <v>#N/A</v>
      </c>
      <c r="L429" s="14" t="e">
        <v>#N/A</v>
      </c>
      <c r="M429" s="14" t="e">
        <v>#N/A</v>
      </c>
    </row>
    <row r="430" spans="5:13">
      <c r="E430" s="13" t="e">
        <v>#N/A</v>
      </c>
      <c r="F430" s="13" t="e">
        <v>#N/A</v>
      </c>
      <c r="G430" s="14" t="e">
        <v>#N/A</v>
      </c>
      <c r="H430" s="14" t="e">
        <v>#N/A</v>
      </c>
      <c r="J430" s="13" t="e">
        <v>#N/A</v>
      </c>
      <c r="K430" s="13" t="e">
        <v>#N/A</v>
      </c>
      <c r="L430" s="14" t="e">
        <v>#N/A</v>
      </c>
      <c r="M430" s="14" t="e">
        <v>#N/A</v>
      </c>
    </row>
    <row r="431" spans="5:13">
      <c r="E431" s="13" t="e">
        <v>#N/A</v>
      </c>
      <c r="F431" s="13" t="e">
        <v>#N/A</v>
      </c>
      <c r="G431" s="14" t="e">
        <v>#N/A</v>
      </c>
      <c r="H431" s="14" t="e">
        <v>#N/A</v>
      </c>
      <c r="J431" s="13" t="e">
        <v>#N/A</v>
      </c>
      <c r="K431" s="13" t="e">
        <v>#N/A</v>
      </c>
      <c r="L431" s="14" t="e">
        <v>#N/A</v>
      </c>
      <c r="M431" s="14" t="e">
        <v>#N/A</v>
      </c>
    </row>
    <row r="432" spans="5:13">
      <c r="E432" s="13" t="e">
        <v>#N/A</v>
      </c>
      <c r="F432" s="13" t="e">
        <v>#N/A</v>
      </c>
      <c r="G432" s="14" t="e">
        <v>#N/A</v>
      </c>
      <c r="H432" s="14" t="e">
        <v>#N/A</v>
      </c>
      <c r="J432" s="13" t="e">
        <v>#N/A</v>
      </c>
      <c r="K432" s="13" t="e">
        <v>#N/A</v>
      </c>
      <c r="L432" s="14" t="e">
        <v>#N/A</v>
      </c>
      <c r="M432" s="14" t="e">
        <v>#N/A</v>
      </c>
    </row>
    <row r="433" spans="5:13">
      <c r="E433" s="13" t="e">
        <v>#N/A</v>
      </c>
      <c r="F433" s="13" t="e">
        <v>#N/A</v>
      </c>
      <c r="G433" s="14" t="e">
        <v>#N/A</v>
      </c>
      <c r="H433" s="14" t="e">
        <v>#N/A</v>
      </c>
      <c r="J433" s="13" t="e">
        <v>#N/A</v>
      </c>
      <c r="K433" s="13" t="e">
        <v>#N/A</v>
      </c>
      <c r="L433" s="14" t="e">
        <v>#N/A</v>
      </c>
      <c r="M433" s="14" t="e">
        <v>#N/A</v>
      </c>
    </row>
    <row r="434" spans="5:13">
      <c r="E434" s="13" t="e">
        <v>#N/A</v>
      </c>
      <c r="F434" s="13" t="e">
        <v>#N/A</v>
      </c>
      <c r="G434" s="14" t="e">
        <v>#N/A</v>
      </c>
      <c r="H434" s="14" t="e">
        <v>#N/A</v>
      </c>
      <c r="J434" s="13" t="e">
        <v>#N/A</v>
      </c>
      <c r="K434" s="13" t="e">
        <v>#N/A</v>
      </c>
      <c r="L434" s="14" t="e">
        <v>#N/A</v>
      </c>
      <c r="M434" s="14" t="e">
        <v>#N/A</v>
      </c>
    </row>
    <row r="435" spans="5:13">
      <c r="E435" s="13" t="e">
        <v>#N/A</v>
      </c>
      <c r="F435" s="13" t="e">
        <v>#N/A</v>
      </c>
      <c r="G435" s="14" t="e">
        <v>#N/A</v>
      </c>
      <c r="H435" s="14" t="e">
        <v>#N/A</v>
      </c>
      <c r="J435" s="13" t="e">
        <v>#N/A</v>
      </c>
      <c r="K435" s="13" t="e">
        <v>#N/A</v>
      </c>
      <c r="L435" s="14" t="e">
        <v>#N/A</v>
      </c>
      <c r="M435" s="14" t="e">
        <v>#N/A</v>
      </c>
    </row>
    <row r="436" spans="5:13">
      <c r="E436" s="13" t="e">
        <v>#N/A</v>
      </c>
      <c r="F436" s="13" t="e">
        <v>#N/A</v>
      </c>
      <c r="G436" s="14" t="e">
        <v>#N/A</v>
      </c>
      <c r="H436" s="14" t="e">
        <v>#N/A</v>
      </c>
      <c r="J436" s="13" t="e">
        <v>#N/A</v>
      </c>
      <c r="K436" s="13" t="e">
        <v>#N/A</v>
      </c>
      <c r="L436" s="14" t="e">
        <v>#N/A</v>
      </c>
      <c r="M436" s="14" t="e">
        <v>#N/A</v>
      </c>
    </row>
    <row r="437" spans="5:13">
      <c r="E437" s="13" t="e">
        <v>#N/A</v>
      </c>
      <c r="F437" s="13" t="e">
        <v>#N/A</v>
      </c>
      <c r="G437" s="14" t="e">
        <v>#N/A</v>
      </c>
      <c r="H437" s="14" t="e">
        <v>#N/A</v>
      </c>
      <c r="J437" s="13" t="e">
        <v>#N/A</v>
      </c>
      <c r="K437" s="13" t="e">
        <v>#N/A</v>
      </c>
      <c r="L437" s="14" t="e">
        <v>#N/A</v>
      </c>
      <c r="M437" s="14" t="e">
        <v>#N/A</v>
      </c>
    </row>
    <row r="438" spans="5:13">
      <c r="E438" s="13" t="e">
        <v>#N/A</v>
      </c>
      <c r="F438" s="13" t="e">
        <v>#N/A</v>
      </c>
      <c r="G438" s="14" t="e">
        <v>#N/A</v>
      </c>
      <c r="H438" s="14" t="e">
        <v>#N/A</v>
      </c>
      <c r="J438" s="13" t="e">
        <v>#N/A</v>
      </c>
      <c r="K438" s="13" t="e">
        <v>#N/A</v>
      </c>
      <c r="L438" s="14" t="e">
        <v>#N/A</v>
      </c>
      <c r="M438" s="14" t="e">
        <v>#N/A</v>
      </c>
    </row>
    <row r="439" spans="5:13">
      <c r="E439" s="13" t="e">
        <v>#N/A</v>
      </c>
      <c r="F439" s="13" t="e">
        <v>#N/A</v>
      </c>
      <c r="G439" s="14" t="e">
        <v>#N/A</v>
      </c>
      <c r="H439" s="14" t="e">
        <v>#N/A</v>
      </c>
      <c r="J439" s="13" t="e">
        <v>#N/A</v>
      </c>
      <c r="K439" s="13" t="e">
        <v>#N/A</v>
      </c>
      <c r="L439" s="14" t="e">
        <v>#N/A</v>
      </c>
      <c r="M439" s="14" t="e">
        <v>#N/A</v>
      </c>
    </row>
    <row r="440" spans="5:13">
      <c r="E440" s="13" t="e">
        <v>#N/A</v>
      </c>
      <c r="F440" s="13" t="e">
        <v>#N/A</v>
      </c>
      <c r="G440" s="14" t="e">
        <v>#N/A</v>
      </c>
      <c r="H440" s="14" t="e">
        <v>#N/A</v>
      </c>
      <c r="J440" s="13" t="e">
        <v>#N/A</v>
      </c>
      <c r="K440" s="13" t="e">
        <v>#N/A</v>
      </c>
      <c r="L440" s="14" t="e">
        <v>#N/A</v>
      </c>
      <c r="M440" s="14" t="e">
        <v>#N/A</v>
      </c>
    </row>
    <row r="441" spans="5:13">
      <c r="E441" s="13" t="e">
        <v>#N/A</v>
      </c>
      <c r="F441" s="13" t="e">
        <v>#N/A</v>
      </c>
      <c r="G441" s="14" t="e">
        <v>#N/A</v>
      </c>
      <c r="H441" s="14" t="e">
        <v>#N/A</v>
      </c>
      <c r="J441" s="13" t="e">
        <v>#N/A</v>
      </c>
      <c r="K441" s="13" t="e">
        <v>#N/A</v>
      </c>
      <c r="L441" s="14" t="e">
        <v>#N/A</v>
      </c>
      <c r="M441" s="14" t="e">
        <v>#N/A</v>
      </c>
    </row>
    <row r="442" spans="5:13">
      <c r="E442" s="13" t="e">
        <v>#N/A</v>
      </c>
      <c r="F442" s="13" t="e">
        <v>#N/A</v>
      </c>
      <c r="G442" s="14" t="e">
        <v>#N/A</v>
      </c>
      <c r="H442" s="14" t="e">
        <v>#N/A</v>
      </c>
      <c r="J442" s="13" t="e">
        <v>#N/A</v>
      </c>
      <c r="K442" s="13" t="e">
        <v>#N/A</v>
      </c>
      <c r="L442" s="14" t="e">
        <v>#N/A</v>
      </c>
      <c r="M442" s="14" t="e">
        <v>#N/A</v>
      </c>
    </row>
    <row r="443" spans="5:13">
      <c r="E443" s="13" t="e">
        <v>#N/A</v>
      </c>
      <c r="F443" s="13" t="e">
        <v>#N/A</v>
      </c>
      <c r="G443" s="14" t="e">
        <v>#N/A</v>
      </c>
      <c r="H443" s="14" t="e">
        <v>#N/A</v>
      </c>
      <c r="J443" s="13" t="e">
        <v>#N/A</v>
      </c>
      <c r="K443" s="13" t="e">
        <v>#N/A</v>
      </c>
      <c r="L443" s="14" t="e">
        <v>#N/A</v>
      </c>
      <c r="M443" s="14" t="e">
        <v>#N/A</v>
      </c>
    </row>
    <row r="444" spans="5:13">
      <c r="E444" s="13" t="e">
        <v>#N/A</v>
      </c>
      <c r="F444" s="13" t="e">
        <v>#N/A</v>
      </c>
      <c r="G444" s="14" t="e">
        <v>#N/A</v>
      </c>
      <c r="H444" s="14" t="e">
        <v>#N/A</v>
      </c>
      <c r="J444" s="13" t="e">
        <v>#N/A</v>
      </c>
      <c r="K444" s="13" t="e">
        <v>#N/A</v>
      </c>
      <c r="L444" s="14" t="e">
        <v>#N/A</v>
      </c>
      <c r="M444" s="14" t="e">
        <v>#N/A</v>
      </c>
    </row>
    <row r="445" spans="5:13">
      <c r="E445" s="13" t="e">
        <v>#N/A</v>
      </c>
      <c r="F445" s="13" t="e">
        <v>#N/A</v>
      </c>
      <c r="G445" s="14" t="e">
        <v>#N/A</v>
      </c>
      <c r="H445" s="14" t="e">
        <v>#N/A</v>
      </c>
      <c r="J445" s="13" t="e">
        <v>#N/A</v>
      </c>
      <c r="K445" s="13" t="e">
        <v>#N/A</v>
      </c>
      <c r="L445" s="14" t="e">
        <v>#N/A</v>
      </c>
      <c r="M445" s="14" t="e">
        <v>#N/A</v>
      </c>
    </row>
    <row r="446" spans="5:13">
      <c r="E446" s="13" t="e">
        <v>#N/A</v>
      </c>
      <c r="F446" s="13" t="e">
        <v>#N/A</v>
      </c>
      <c r="G446" s="14" t="e">
        <v>#N/A</v>
      </c>
      <c r="H446" s="14" t="e">
        <v>#N/A</v>
      </c>
      <c r="J446" s="13" t="e">
        <v>#N/A</v>
      </c>
      <c r="K446" s="13" t="e">
        <v>#N/A</v>
      </c>
      <c r="L446" s="14" t="e">
        <v>#N/A</v>
      </c>
      <c r="M446" s="14" t="e">
        <v>#N/A</v>
      </c>
    </row>
    <row r="447" spans="5:13">
      <c r="E447" s="13" t="e">
        <v>#N/A</v>
      </c>
      <c r="F447" s="13" t="e">
        <v>#N/A</v>
      </c>
      <c r="G447" s="14" t="e">
        <v>#N/A</v>
      </c>
      <c r="H447" s="14" t="e">
        <v>#N/A</v>
      </c>
      <c r="J447" s="13" t="e">
        <v>#N/A</v>
      </c>
      <c r="K447" s="13" t="e">
        <v>#N/A</v>
      </c>
      <c r="L447" s="14" t="e">
        <v>#N/A</v>
      </c>
      <c r="M447" s="14" t="e">
        <v>#N/A</v>
      </c>
    </row>
    <row r="448" spans="5:13">
      <c r="E448" s="13" t="e">
        <v>#N/A</v>
      </c>
      <c r="F448" s="13" t="e">
        <v>#N/A</v>
      </c>
      <c r="G448" s="14" t="e">
        <v>#N/A</v>
      </c>
      <c r="H448" s="14" t="e">
        <v>#N/A</v>
      </c>
      <c r="J448" s="13" t="e">
        <v>#N/A</v>
      </c>
      <c r="K448" s="13" t="e">
        <v>#N/A</v>
      </c>
      <c r="L448" s="14" t="e">
        <v>#N/A</v>
      </c>
      <c r="M448" s="14" t="e">
        <v>#N/A</v>
      </c>
    </row>
    <row r="449" spans="5:13">
      <c r="E449" s="13" t="e">
        <v>#N/A</v>
      </c>
      <c r="F449" s="13" t="e">
        <v>#N/A</v>
      </c>
      <c r="G449" s="14" t="e">
        <v>#N/A</v>
      </c>
      <c r="H449" s="14" t="e">
        <v>#N/A</v>
      </c>
      <c r="J449" s="13" t="e">
        <v>#N/A</v>
      </c>
      <c r="K449" s="13" t="e">
        <v>#N/A</v>
      </c>
      <c r="L449" s="14" t="e">
        <v>#N/A</v>
      </c>
      <c r="M449" s="14" t="e">
        <v>#N/A</v>
      </c>
    </row>
    <row r="450" spans="5:13">
      <c r="E450" s="13" t="e">
        <v>#N/A</v>
      </c>
      <c r="F450" s="13" t="e">
        <v>#N/A</v>
      </c>
      <c r="G450" s="14" t="e">
        <v>#N/A</v>
      </c>
      <c r="H450" s="14" t="e">
        <v>#N/A</v>
      </c>
      <c r="J450" s="13" t="e">
        <v>#N/A</v>
      </c>
      <c r="K450" s="13" t="e">
        <v>#N/A</v>
      </c>
      <c r="L450" s="14" t="e">
        <v>#N/A</v>
      </c>
      <c r="M450" s="14" t="e">
        <v>#N/A</v>
      </c>
    </row>
    <row r="451" spans="5:13">
      <c r="E451" s="13" t="e">
        <v>#N/A</v>
      </c>
      <c r="F451" s="13" t="e">
        <v>#N/A</v>
      </c>
      <c r="G451" s="14" t="e">
        <v>#N/A</v>
      </c>
      <c r="H451" s="14" t="e">
        <v>#N/A</v>
      </c>
      <c r="J451" s="13" t="e">
        <v>#N/A</v>
      </c>
      <c r="K451" s="13" t="e">
        <v>#N/A</v>
      </c>
      <c r="L451" s="14" t="e">
        <v>#N/A</v>
      </c>
      <c r="M451" s="14" t="e">
        <v>#N/A</v>
      </c>
    </row>
    <row r="452" spans="5:13">
      <c r="E452" s="13" t="e">
        <v>#N/A</v>
      </c>
      <c r="F452" s="13" t="e">
        <v>#N/A</v>
      </c>
      <c r="G452" s="14" t="e">
        <v>#N/A</v>
      </c>
      <c r="H452" s="14" t="e">
        <v>#N/A</v>
      </c>
      <c r="J452" s="13" t="e">
        <v>#N/A</v>
      </c>
      <c r="K452" s="13" t="e">
        <v>#N/A</v>
      </c>
      <c r="L452" s="14" t="e">
        <v>#N/A</v>
      </c>
      <c r="M452" s="14" t="e">
        <v>#N/A</v>
      </c>
    </row>
    <row r="453" spans="5:13">
      <c r="E453" s="13" t="e">
        <v>#N/A</v>
      </c>
      <c r="F453" s="13" t="e">
        <v>#N/A</v>
      </c>
      <c r="G453" s="14" t="e">
        <v>#N/A</v>
      </c>
      <c r="H453" s="14" t="e">
        <v>#N/A</v>
      </c>
      <c r="J453" s="13" t="e">
        <v>#N/A</v>
      </c>
      <c r="K453" s="13" t="e">
        <v>#N/A</v>
      </c>
      <c r="L453" s="14" t="e">
        <v>#N/A</v>
      </c>
      <c r="M453" s="14" t="e">
        <v>#N/A</v>
      </c>
    </row>
    <row r="454" spans="5:13">
      <c r="E454" s="13" t="e">
        <v>#N/A</v>
      </c>
      <c r="F454" s="13" t="e">
        <v>#N/A</v>
      </c>
      <c r="G454" s="14" t="e">
        <v>#N/A</v>
      </c>
      <c r="H454" s="14" t="e">
        <v>#N/A</v>
      </c>
      <c r="J454" s="13" t="e">
        <v>#N/A</v>
      </c>
      <c r="K454" s="13" t="e">
        <v>#N/A</v>
      </c>
      <c r="L454" s="14" t="e">
        <v>#N/A</v>
      </c>
      <c r="M454" s="14" t="e">
        <v>#N/A</v>
      </c>
    </row>
    <row r="455" spans="5:13">
      <c r="E455" s="13" t="e">
        <v>#N/A</v>
      </c>
      <c r="F455" s="13" t="e">
        <v>#N/A</v>
      </c>
      <c r="G455" s="14" t="e">
        <v>#N/A</v>
      </c>
      <c r="H455" s="14" t="e">
        <v>#N/A</v>
      </c>
      <c r="J455" s="13" t="e">
        <v>#N/A</v>
      </c>
      <c r="K455" s="13" t="e">
        <v>#N/A</v>
      </c>
      <c r="L455" s="14" t="e">
        <v>#N/A</v>
      </c>
      <c r="M455" s="14" t="e">
        <v>#N/A</v>
      </c>
    </row>
    <row r="456" spans="5:13">
      <c r="E456" s="13" t="e">
        <v>#N/A</v>
      </c>
      <c r="F456" s="13" t="e">
        <v>#N/A</v>
      </c>
      <c r="G456" s="14" t="e">
        <v>#N/A</v>
      </c>
      <c r="H456" s="14" t="e">
        <v>#N/A</v>
      </c>
      <c r="J456" s="13" t="e">
        <v>#N/A</v>
      </c>
      <c r="K456" s="13" t="e">
        <v>#N/A</v>
      </c>
      <c r="L456" s="14" t="e">
        <v>#N/A</v>
      </c>
      <c r="M456" s="14" t="e">
        <v>#N/A</v>
      </c>
    </row>
    <row r="457" spans="5:13">
      <c r="E457" s="13" t="e">
        <v>#N/A</v>
      </c>
      <c r="F457" s="13" t="e">
        <v>#N/A</v>
      </c>
      <c r="G457" s="14" t="e">
        <v>#N/A</v>
      </c>
      <c r="H457" s="14" t="e">
        <v>#N/A</v>
      </c>
      <c r="J457" s="13" t="e">
        <v>#N/A</v>
      </c>
      <c r="K457" s="13" t="e">
        <v>#N/A</v>
      </c>
      <c r="L457" s="14" t="e">
        <v>#N/A</v>
      </c>
      <c r="M457" s="14" t="e">
        <v>#N/A</v>
      </c>
    </row>
    <row r="458" spans="5:13">
      <c r="E458" s="13" t="e">
        <v>#N/A</v>
      </c>
      <c r="F458" s="13" t="e">
        <v>#N/A</v>
      </c>
      <c r="G458" s="14" t="e">
        <v>#N/A</v>
      </c>
      <c r="H458" s="14" t="e">
        <v>#N/A</v>
      </c>
      <c r="J458" s="13" t="e">
        <v>#N/A</v>
      </c>
      <c r="K458" s="13" t="e">
        <v>#N/A</v>
      </c>
      <c r="L458" s="14" t="e">
        <v>#N/A</v>
      </c>
      <c r="M458" s="14" t="e">
        <v>#N/A</v>
      </c>
    </row>
    <row r="459" spans="5:13">
      <c r="E459" s="13" t="e">
        <v>#N/A</v>
      </c>
      <c r="F459" s="13" t="e">
        <v>#N/A</v>
      </c>
      <c r="G459" s="14" t="e">
        <v>#N/A</v>
      </c>
      <c r="H459" s="14" t="e">
        <v>#N/A</v>
      </c>
      <c r="J459" s="13" t="e">
        <v>#N/A</v>
      </c>
      <c r="K459" s="13" t="e">
        <v>#N/A</v>
      </c>
      <c r="L459" s="14" t="e">
        <v>#N/A</v>
      </c>
      <c r="M459" s="14" t="e">
        <v>#N/A</v>
      </c>
    </row>
    <row r="460" spans="5:13">
      <c r="E460" s="13" t="e">
        <v>#N/A</v>
      </c>
      <c r="F460" s="13" t="e">
        <v>#N/A</v>
      </c>
      <c r="G460" s="14" t="e">
        <v>#N/A</v>
      </c>
      <c r="H460" s="14" t="e">
        <v>#N/A</v>
      </c>
      <c r="J460" s="13" t="e">
        <v>#N/A</v>
      </c>
      <c r="K460" s="13" t="e">
        <v>#N/A</v>
      </c>
      <c r="L460" s="14" t="e">
        <v>#N/A</v>
      </c>
      <c r="M460" s="14" t="e">
        <v>#N/A</v>
      </c>
    </row>
    <row r="461" spans="5:13">
      <c r="E461" s="13" t="e">
        <v>#N/A</v>
      </c>
      <c r="F461" s="13" t="e">
        <v>#N/A</v>
      </c>
      <c r="G461" s="14" t="e">
        <v>#N/A</v>
      </c>
      <c r="H461" s="14" t="e">
        <v>#N/A</v>
      </c>
      <c r="J461" s="13" t="e">
        <v>#N/A</v>
      </c>
      <c r="K461" s="13" t="e">
        <v>#N/A</v>
      </c>
      <c r="L461" s="14" t="e">
        <v>#N/A</v>
      </c>
      <c r="M461" s="14" t="e">
        <v>#N/A</v>
      </c>
    </row>
    <row r="462" spans="5:13">
      <c r="E462" s="13" t="e">
        <v>#N/A</v>
      </c>
      <c r="F462" s="13" t="e">
        <v>#N/A</v>
      </c>
      <c r="G462" s="14" t="e">
        <v>#N/A</v>
      </c>
      <c r="H462" s="14" t="e">
        <v>#N/A</v>
      </c>
      <c r="J462" s="13" t="e">
        <v>#N/A</v>
      </c>
      <c r="K462" s="13" t="e">
        <v>#N/A</v>
      </c>
      <c r="L462" s="14" t="e">
        <v>#N/A</v>
      </c>
      <c r="M462" s="14" t="e">
        <v>#N/A</v>
      </c>
    </row>
    <row r="463" spans="5:13">
      <c r="E463" s="13" t="e">
        <v>#N/A</v>
      </c>
      <c r="F463" s="13" t="e">
        <v>#N/A</v>
      </c>
      <c r="G463" s="14" t="e">
        <v>#N/A</v>
      </c>
      <c r="H463" s="14" t="e">
        <v>#N/A</v>
      </c>
      <c r="J463" s="13" t="e">
        <v>#N/A</v>
      </c>
      <c r="K463" s="13" t="e">
        <v>#N/A</v>
      </c>
      <c r="L463" s="14" t="e">
        <v>#N/A</v>
      </c>
      <c r="M463" s="14" t="e">
        <v>#N/A</v>
      </c>
    </row>
    <row r="464" spans="5:13">
      <c r="E464" s="13" t="e">
        <v>#N/A</v>
      </c>
      <c r="F464" s="13" t="e">
        <v>#N/A</v>
      </c>
      <c r="G464" s="14" t="e">
        <v>#N/A</v>
      </c>
      <c r="H464" s="14" t="e">
        <v>#N/A</v>
      </c>
      <c r="J464" s="13" t="e">
        <v>#N/A</v>
      </c>
      <c r="K464" s="13" t="e">
        <v>#N/A</v>
      </c>
      <c r="L464" s="14" t="e">
        <v>#N/A</v>
      </c>
      <c r="M464" s="14" t="e">
        <v>#N/A</v>
      </c>
    </row>
    <row r="465" spans="5:13">
      <c r="E465" s="13" t="e">
        <v>#N/A</v>
      </c>
      <c r="F465" s="13" t="e">
        <v>#N/A</v>
      </c>
      <c r="G465" s="14" t="e">
        <v>#N/A</v>
      </c>
      <c r="H465" s="14" t="e">
        <v>#N/A</v>
      </c>
      <c r="J465" s="13" t="e">
        <v>#N/A</v>
      </c>
      <c r="K465" s="13" t="e">
        <v>#N/A</v>
      </c>
      <c r="L465" s="14" t="e">
        <v>#N/A</v>
      </c>
      <c r="M465" s="14" t="e">
        <v>#N/A</v>
      </c>
    </row>
    <row r="466" spans="5:13">
      <c r="E466" s="13" t="e">
        <v>#N/A</v>
      </c>
      <c r="F466" s="13" t="e">
        <v>#N/A</v>
      </c>
      <c r="G466" s="14" t="e">
        <v>#N/A</v>
      </c>
      <c r="H466" s="14" t="e">
        <v>#N/A</v>
      </c>
      <c r="J466" s="13" t="e">
        <v>#N/A</v>
      </c>
      <c r="K466" s="13" t="e">
        <v>#N/A</v>
      </c>
      <c r="L466" s="14" t="e">
        <v>#N/A</v>
      </c>
      <c r="M466" s="14" t="e">
        <v>#N/A</v>
      </c>
    </row>
    <row r="467" spans="5:13">
      <c r="E467" s="13" t="e">
        <v>#N/A</v>
      </c>
      <c r="F467" s="13" t="e">
        <v>#N/A</v>
      </c>
      <c r="G467" s="14" t="e">
        <v>#N/A</v>
      </c>
      <c r="H467" s="14" t="e">
        <v>#N/A</v>
      </c>
      <c r="J467" s="13" t="e">
        <v>#N/A</v>
      </c>
      <c r="K467" s="13" t="e">
        <v>#N/A</v>
      </c>
      <c r="L467" s="14" t="e">
        <v>#N/A</v>
      </c>
      <c r="M467" s="14" t="e">
        <v>#N/A</v>
      </c>
    </row>
    <row r="468" spans="5:13">
      <c r="E468" s="13" t="e">
        <v>#N/A</v>
      </c>
      <c r="F468" s="13" t="e">
        <v>#N/A</v>
      </c>
      <c r="G468" s="14" t="e">
        <v>#N/A</v>
      </c>
      <c r="H468" s="14" t="e">
        <v>#N/A</v>
      </c>
      <c r="J468" s="13" t="e">
        <v>#N/A</v>
      </c>
      <c r="K468" s="13" t="e">
        <v>#N/A</v>
      </c>
      <c r="L468" s="14" t="e">
        <v>#N/A</v>
      </c>
      <c r="M468" s="14" t="e">
        <v>#N/A</v>
      </c>
    </row>
    <row r="469" spans="5:13">
      <c r="E469" s="13" t="e">
        <v>#N/A</v>
      </c>
      <c r="F469" s="13" t="e">
        <v>#N/A</v>
      </c>
      <c r="G469" s="14" t="e">
        <v>#N/A</v>
      </c>
      <c r="H469" s="14" t="e">
        <v>#N/A</v>
      </c>
      <c r="J469" s="13" t="e">
        <v>#N/A</v>
      </c>
      <c r="K469" s="13" t="e">
        <v>#N/A</v>
      </c>
      <c r="L469" s="14" t="e">
        <v>#N/A</v>
      </c>
      <c r="M469" s="14" t="e">
        <v>#N/A</v>
      </c>
    </row>
    <row r="470" spans="5:13">
      <c r="E470" s="13" t="e">
        <v>#N/A</v>
      </c>
      <c r="F470" s="13" t="e">
        <v>#N/A</v>
      </c>
      <c r="G470" s="14" t="e">
        <v>#N/A</v>
      </c>
      <c r="H470" s="14" t="e">
        <v>#N/A</v>
      </c>
      <c r="J470" s="13" t="e">
        <v>#N/A</v>
      </c>
      <c r="K470" s="13" t="e">
        <v>#N/A</v>
      </c>
      <c r="L470" s="14" t="e">
        <v>#N/A</v>
      </c>
      <c r="M470" s="14" t="e">
        <v>#N/A</v>
      </c>
    </row>
    <row r="471" spans="5:13">
      <c r="E471" s="13" t="e">
        <v>#N/A</v>
      </c>
      <c r="F471" s="13" t="e">
        <v>#N/A</v>
      </c>
      <c r="G471" s="14" t="e">
        <v>#N/A</v>
      </c>
      <c r="H471" s="14" t="e">
        <v>#N/A</v>
      </c>
      <c r="J471" s="13" t="e">
        <v>#N/A</v>
      </c>
      <c r="K471" s="13" t="e">
        <v>#N/A</v>
      </c>
      <c r="L471" s="14" t="e">
        <v>#N/A</v>
      </c>
      <c r="M471" s="14" t="e">
        <v>#N/A</v>
      </c>
    </row>
    <row r="472" spans="5:13">
      <c r="E472" s="13" t="e">
        <v>#N/A</v>
      </c>
      <c r="F472" s="13" t="e">
        <v>#N/A</v>
      </c>
      <c r="G472" s="14" t="e">
        <v>#N/A</v>
      </c>
      <c r="H472" s="14" t="e">
        <v>#N/A</v>
      </c>
      <c r="J472" s="13" t="e">
        <v>#N/A</v>
      </c>
      <c r="K472" s="13" t="e">
        <v>#N/A</v>
      </c>
      <c r="L472" s="14" t="e">
        <v>#N/A</v>
      </c>
      <c r="M472" s="14" t="e">
        <v>#N/A</v>
      </c>
    </row>
    <row r="473" spans="5:13">
      <c r="E473" s="13" t="e">
        <v>#N/A</v>
      </c>
      <c r="F473" s="13" t="e">
        <v>#N/A</v>
      </c>
      <c r="G473" s="14" t="e">
        <v>#N/A</v>
      </c>
      <c r="H473" s="14" t="e">
        <v>#N/A</v>
      </c>
      <c r="J473" s="13" t="e">
        <v>#N/A</v>
      </c>
      <c r="K473" s="13" t="e">
        <v>#N/A</v>
      </c>
      <c r="L473" s="14" t="e">
        <v>#N/A</v>
      </c>
      <c r="M473" s="14" t="e">
        <v>#N/A</v>
      </c>
    </row>
    <row r="474" spans="5:13">
      <c r="E474" s="13" t="e">
        <v>#N/A</v>
      </c>
      <c r="F474" s="13" t="e">
        <v>#N/A</v>
      </c>
      <c r="G474" s="14" t="e">
        <v>#N/A</v>
      </c>
      <c r="H474" s="14" t="e">
        <v>#N/A</v>
      </c>
      <c r="J474" s="13" t="e">
        <v>#N/A</v>
      </c>
      <c r="K474" s="13" t="e">
        <v>#N/A</v>
      </c>
      <c r="L474" s="14" t="e">
        <v>#N/A</v>
      </c>
      <c r="M474" s="14" t="e">
        <v>#N/A</v>
      </c>
    </row>
    <row r="475" spans="5:13">
      <c r="E475" s="13" t="e">
        <v>#N/A</v>
      </c>
      <c r="F475" s="13" t="e">
        <v>#N/A</v>
      </c>
      <c r="G475" s="14" t="e">
        <v>#N/A</v>
      </c>
      <c r="H475" s="14" t="e">
        <v>#N/A</v>
      </c>
      <c r="J475" s="13" t="e">
        <v>#N/A</v>
      </c>
      <c r="K475" s="13" t="e">
        <v>#N/A</v>
      </c>
      <c r="L475" s="14" t="e">
        <v>#N/A</v>
      </c>
      <c r="M475" s="14" t="e">
        <v>#N/A</v>
      </c>
    </row>
    <row r="476" spans="5:13">
      <c r="E476" s="13" t="e">
        <v>#N/A</v>
      </c>
      <c r="F476" s="13" t="e">
        <v>#N/A</v>
      </c>
      <c r="G476" s="14" t="e">
        <v>#N/A</v>
      </c>
      <c r="H476" s="14" t="e">
        <v>#N/A</v>
      </c>
      <c r="J476" s="13" t="e">
        <v>#N/A</v>
      </c>
      <c r="K476" s="13" t="e">
        <v>#N/A</v>
      </c>
      <c r="L476" s="14" t="e">
        <v>#N/A</v>
      </c>
      <c r="M476" s="14" t="e">
        <v>#N/A</v>
      </c>
    </row>
    <row r="477" spans="5:13">
      <c r="E477" s="13" t="e">
        <v>#N/A</v>
      </c>
      <c r="F477" s="13" t="e">
        <v>#N/A</v>
      </c>
      <c r="G477" s="14" t="e">
        <v>#N/A</v>
      </c>
      <c r="H477" s="14" t="e">
        <v>#N/A</v>
      </c>
      <c r="J477" s="13" t="e">
        <v>#N/A</v>
      </c>
      <c r="K477" s="13" t="e">
        <v>#N/A</v>
      </c>
      <c r="L477" s="14" t="e">
        <v>#N/A</v>
      </c>
      <c r="M477" s="14" t="e">
        <v>#N/A</v>
      </c>
    </row>
    <row r="478" spans="5:13">
      <c r="E478" s="13" t="e">
        <v>#N/A</v>
      </c>
      <c r="F478" s="13" t="e">
        <v>#N/A</v>
      </c>
      <c r="G478" s="14" t="e">
        <v>#N/A</v>
      </c>
      <c r="H478" s="14" t="e">
        <v>#N/A</v>
      </c>
      <c r="J478" s="13" t="e">
        <v>#N/A</v>
      </c>
      <c r="K478" s="13" t="e">
        <v>#N/A</v>
      </c>
      <c r="L478" s="14" t="e">
        <v>#N/A</v>
      </c>
      <c r="M478" s="14" t="e">
        <v>#N/A</v>
      </c>
    </row>
    <row r="479" spans="5:13">
      <c r="E479" s="13" t="e">
        <v>#N/A</v>
      </c>
      <c r="F479" s="13" t="e">
        <v>#N/A</v>
      </c>
      <c r="G479" s="14" t="e">
        <v>#N/A</v>
      </c>
      <c r="H479" s="14" t="e">
        <v>#N/A</v>
      </c>
      <c r="J479" s="13" t="e">
        <v>#N/A</v>
      </c>
      <c r="K479" s="13" t="e">
        <v>#N/A</v>
      </c>
      <c r="L479" s="14" t="e">
        <v>#N/A</v>
      </c>
      <c r="M479" s="14" t="e">
        <v>#N/A</v>
      </c>
    </row>
    <row r="480" spans="5:13">
      <c r="E480" s="13" t="e">
        <v>#N/A</v>
      </c>
      <c r="F480" s="13" t="e">
        <v>#N/A</v>
      </c>
      <c r="G480" s="14" t="e">
        <v>#N/A</v>
      </c>
      <c r="H480" s="14" t="e">
        <v>#N/A</v>
      </c>
      <c r="J480" s="13" t="e">
        <v>#N/A</v>
      </c>
      <c r="K480" s="13" t="e">
        <v>#N/A</v>
      </c>
      <c r="L480" s="14" t="e">
        <v>#N/A</v>
      </c>
      <c r="M480" s="14" t="e">
        <v>#N/A</v>
      </c>
    </row>
    <row r="481" spans="5:13">
      <c r="E481" s="13" t="e">
        <v>#N/A</v>
      </c>
      <c r="F481" s="13" t="e">
        <v>#N/A</v>
      </c>
      <c r="G481" s="14" t="e">
        <v>#N/A</v>
      </c>
      <c r="H481" s="14" t="e">
        <v>#N/A</v>
      </c>
      <c r="J481" s="13" t="e">
        <v>#N/A</v>
      </c>
      <c r="K481" s="13" t="e">
        <v>#N/A</v>
      </c>
      <c r="L481" s="14" t="e">
        <v>#N/A</v>
      </c>
      <c r="M481" s="14" t="e">
        <v>#N/A</v>
      </c>
    </row>
    <row r="482" spans="5:13">
      <c r="E482" s="13" t="e">
        <v>#N/A</v>
      </c>
      <c r="F482" s="13" t="e">
        <v>#N/A</v>
      </c>
      <c r="G482" s="14" t="e">
        <v>#N/A</v>
      </c>
      <c r="H482" s="14" t="e">
        <v>#N/A</v>
      </c>
      <c r="J482" s="13" t="e">
        <v>#N/A</v>
      </c>
      <c r="K482" s="13" t="e">
        <v>#N/A</v>
      </c>
      <c r="L482" s="14" t="e">
        <v>#N/A</v>
      </c>
      <c r="M482" s="14" t="e">
        <v>#N/A</v>
      </c>
    </row>
    <row r="483" spans="5:13">
      <c r="E483" s="13" t="e">
        <v>#N/A</v>
      </c>
      <c r="F483" s="13" t="e">
        <v>#N/A</v>
      </c>
      <c r="G483" s="14" t="e">
        <v>#N/A</v>
      </c>
      <c r="H483" s="14" t="e">
        <v>#N/A</v>
      </c>
      <c r="J483" s="13" t="e">
        <v>#N/A</v>
      </c>
      <c r="K483" s="13" t="e">
        <v>#N/A</v>
      </c>
      <c r="L483" s="14" t="e">
        <v>#N/A</v>
      </c>
      <c r="M483" s="14" t="e">
        <v>#N/A</v>
      </c>
    </row>
    <row r="484" spans="5:13">
      <c r="E484" s="13" t="e">
        <v>#N/A</v>
      </c>
      <c r="F484" s="13" t="e">
        <v>#N/A</v>
      </c>
      <c r="G484" s="14" t="e">
        <v>#N/A</v>
      </c>
      <c r="H484" s="14" t="e">
        <v>#N/A</v>
      </c>
      <c r="J484" s="13" t="e">
        <v>#N/A</v>
      </c>
      <c r="K484" s="13" t="e">
        <v>#N/A</v>
      </c>
      <c r="L484" s="14" t="e">
        <v>#N/A</v>
      </c>
      <c r="M484" s="14" t="e">
        <v>#N/A</v>
      </c>
    </row>
    <row r="485" spans="5:13">
      <c r="E485" s="13" t="e">
        <v>#N/A</v>
      </c>
      <c r="F485" s="13" t="e">
        <v>#N/A</v>
      </c>
      <c r="G485" s="14" t="e">
        <v>#N/A</v>
      </c>
      <c r="H485" s="14" t="e">
        <v>#N/A</v>
      </c>
      <c r="J485" s="13" t="e">
        <v>#N/A</v>
      </c>
      <c r="K485" s="13" t="e">
        <v>#N/A</v>
      </c>
      <c r="L485" s="14" t="e">
        <v>#N/A</v>
      </c>
      <c r="M485" s="14" t="e">
        <v>#N/A</v>
      </c>
    </row>
    <row r="486" spans="5:13">
      <c r="E486" s="13" t="e">
        <v>#N/A</v>
      </c>
      <c r="F486" s="13" t="e">
        <v>#N/A</v>
      </c>
      <c r="G486" s="14" t="e">
        <v>#N/A</v>
      </c>
      <c r="H486" s="14" t="e">
        <v>#N/A</v>
      </c>
      <c r="J486" s="13" t="e">
        <v>#N/A</v>
      </c>
      <c r="K486" s="13" t="e">
        <v>#N/A</v>
      </c>
      <c r="L486" s="14" t="e">
        <v>#N/A</v>
      </c>
      <c r="M486" s="14" t="e">
        <v>#N/A</v>
      </c>
    </row>
    <row r="487" spans="5:13">
      <c r="E487" s="13" t="e">
        <v>#N/A</v>
      </c>
      <c r="F487" s="13" t="e">
        <v>#N/A</v>
      </c>
      <c r="G487" s="14" t="e">
        <v>#N/A</v>
      </c>
      <c r="H487" s="14" t="e">
        <v>#N/A</v>
      </c>
      <c r="J487" s="13" t="e">
        <v>#N/A</v>
      </c>
      <c r="K487" s="13" t="e">
        <v>#N/A</v>
      </c>
      <c r="L487" s="14" t="e">
        <v>#N/A</v>
      </c>
      <c r="M487" s="14" t="e">
        <v>#N/A</v>
      </c>
    </row>
    <row r="488" spans="5:13">
      <c r="E488" s="13" t="e">
        <v>#N/A</v>
      </c>
      <c r="F488" s="13" t="e">
        <v>#N/A</v>
      </c>
      <c r="G488" s="14" t="e">
        <v>#N/A</v>
      </c>
      <c r="H488" s="14" t="e">
        <v>#N/A</v>
      </c>
      <c r="J488" s="13" t="e">
        <v>#N/A</v>
      </c>
      <c r="K488" s="13" t="e">
        <v>#N/A</v>
      </c>
      <c r="L488" s="14" t="e">
        <v>#N/A</v>
      </c>
      <c r="M488" s="14" t="e">
        <v>#N/A</v>
      </c>
    </row>
    <row r="489" spans="5:13">
      <c r="E489" s="13" t="e">
        <v>#N/A</v>
      </c>
      <c r="F489" s="13" t="e">
        <v>#N/A</v>
      </c>
      <c r="G489" s="14" t="e">
        <v>#N/A</v>
      </c>
      <c r="H489" s="14" t="e">
        <v>#N/A</v>
      </c>
      <c r="J489" s="13" t="e">
        <v>#N/A</v>
      </c>
      <c r="K489" s="13" t="e">
        <v>#N/A</v>
      </c>
      <c r="L489" s="14" t="e">
        <v>#N/A</v>
      </c>
      <c r="M489" s="14" t="e">
        <v>#N/A</v>
      </c>
    </row>
    <row r="490" spans="5:13">
      <c r="E490" s="13" t="e">
        <v>#N/A</v>
      </c>
      <c r="F490" s="13" t="e">
        <v>#N/A</v>
      </c>
      <c r="G490" s="14" t="e">
        <v>#N/A</v>
      </c>
      <c r="H490" s="14" t="e">
        <v>#N/A</v>
      </c>
      <c r="J490" s="13" t="e">
        <v>#N/A</v>
      </c>
      <c r="K490" s="13" t="e">
        <v>#N/A</v>
      </c>
      <c r="L490" s="14" t="e">
        <v>#N/A</v>
      </c>
      <c r="M490" s="14" t="e">
        <v>#N/A</v>
      </c>
    </row>
    <row r="491" spans="5:13">
      <c r="E491" s="13" t="e">
        <v>#N/A</v>
      </c>
      <c r="F491" s="13" t="e">
        <v>#N/A</v>
      </c>
      <c r="G491" s="14" t="e">
        <v>#N/A</v>
      </c>
      <c r="H491" s="14" t="e">
        <v>#N/A</v>
      </c>
      <c r="J491" s="13" t="e">
        <v>#N/A</v>
      </c>
      <c r="K491" s="13" t="e">
        <v>#N/A</v>
      </c>
      <c r="L491" s="14" t="e">
        <v>#N/A</v>
      </c>
      <c r="M491" s="14" t="e">
        <v>#N/A</v>
      </c>
    </row>
    <row r="492" spans="5:13">
      <c r="E492" s="13" t="e">
        <v>#N/A</v>
      </c>
      <c r="F492" s="13" t="e">
        <v>#N/A</v>
      </c>
      <c r="G492" s="14" t="e">
        <v>#N/A</v>
      </c>
      <c r="H492" s="14" t="e">
        <v>#N/A</v>
      </c>
      <c r="J492" s="13" t="e">
        <v>#N/A</v>
      </c>
      <c r="K492" s="13" t="e">
        <v>#N/A</v>
      </c>
      <c r="L492" s="14" t="e">
        <v>#N/A</v>
      </c>
      <c r="M492" s="14" t="e">
        <v>#N/A</v>
      </c>
    </row>
    <row r="493" spans="5:13">
      <c r="E493" s="13" t="e">
        <v>#N/A</v>
      </c>
      <c r="F493" s="13" t="e">
        <v>#N/A</v>
      </c>
      <c r="G493" s="14" t="e">
        <v>#N/A</v>
      </c>
      <c r="H493" s="14" t="e">
        <v>#N/A</v>
      </c>
      <c r="J493" s="13" t="e">
        <v>#N/A</v>
      </c>
      <c r="K493" s="13" t="e">
        <v>#N/A</v>
      </c>
      <c r="L493" s="14" t="e">
        <v>#N/A</v>
      </c>
      <c r="M493" s="14" t="e">
        <v>#N/A</v>
      </c>
    </row>
    <row r="494" spans="5:13">
      <c r="E494" s="13" t="e">
        <v>#N/A</v>
      </c>
      <c r="F494" s="13" t="e">
        <v>#N/A</v>
      </c>
      <c r="G494" s="14" t="e">
        <v>#N/A</v>
      </c>
      <c r="H494" s="14" t="e">
        <v>#N/A</v>
      </c>
      <c r="J494" s="13" t="e">
        <v>#N/A</v>
      </c>
      <c r="K494" s="13" t="e">
        <v>#N/A</v>
      </c>
      <c r="L494" s="14" t="e">
        <v>#N/A</v>
      </c>
      <c r="M494" s="14" t="e">
        <v>#N/A</v>
      </c>
    </row>
    <row r="495" spans="5:13">
      <c r="E495" s="13" t="e">
        <v>#N/A</v>
      </c>
      <c r="F495" s="13" t="e">
        <v>#N/A</v>
      </c>
      <c r="G495" s="14" t="e">
        <v>#N/A</v>
      </c>
      <c r="H495" s="14" t="e">
        <v>#N/A</v>
      </c>
      <c r="J495" s="13" t="e">
        <v>#N/A</v>
      </c>
      <c r="K495" s="13" t="e">
        <v>#N/A</v>
      </c>
      <c r="L495" s="14" t="e">
        <v>#N/A</v>
      </c>
      <c r="M495" s="14" t="e">
        <v>#N/A</v>
      </c>
    </row>
    <row r="496" spans="5:13">
      <c r="E496" s="13" t="e">
        <v>#N/A</v>
      </c>
      <c r="F496" s="13" t="e">
        <v>#N/A</v>
      </c>
      <c r="G496" s="14" t="e">
        <v>#N/A</v>
      </c>
      <c r="H496" s="14" t="e">
        <v>#N/A</v>
      </c>
      <c r="J496" s="13" t="e">
        <v>#N/A</v>
      </c>
      <c r="K496" s="13" t="e">
        <v>#N/A</v>
      </c>
      <c r="L496" s="14" t="e">
        <v>#N/A</v>
      </c>
      <c r="M496" s="14" t="e">
        <v>#N/A</v>
      </c>
    </row>
    <row r="497" spans="5:13">
      <c r="E497" s="13" t="e">
        <v>#N/A</v>
      </c>
      <c r="F497" s="13" t="e">
        <v>#N/A</v>
      </c>
      <c r="G497" s="14" t="e">
        <v>#N/A</v>
      </c>
      <c r="H497" s="14" t="e">
        <v>#N/A</v>
      </c>
      <c r="J497" s="13" t="e">
        <v>#N/A</v>
      </c>
      <c r="K497" s="13" t="e">
        <v>#N/A</v>
      </c>
      <c r="L497" s="14" t="e">
        <v>#N/A</v>
      </c>
      <c r="M497" s="14" t="e">
        <v>#N/A</v>
      </c>
    </row>
    <row r="498" spans="5:13">
      <c r="E498" s="13" t="e">
        <v>#N/A</v>
      </c>
      <c r="F498" s="13" t="e">
        <v>#N/A</v>
      </c>
      <c r="G498" s="14" t="e">
        <v>#N/A</v>
      </c>
      <c r="H498" s="14" t="e">
        <v>#N/A</v>
      </c>
      <c r="J498" s="13" t="e">
        <v>#N/A</v>
      </c>
      <c r="K498" s="13" t="e">
        <v>#N/A</v>
      </c>
      <c r="L498" s="14" t="e">
        <v>#N/A</v>
      </c>
      <c r="M498" s="14" t="e">
        <v>#N/A</v>
      </c>
    </row>
    <row r="499" spans="5:13">
      <c r="E499" s="13" t="e">
        <v>#N/A</v>
      </c>
      <c r="F499" s="13" t="e">
        <v>#N/A</v>
      </c>
      <c r="G499" s="14" t="e">
        <v>#N/A</v>
      </c>
      <c r="H499" s="14" t="e">
        <v>#N/A</v>
      </c>
      <c r="J499" s="13" t="e">
        <v>#N/A</v>
      </c>
      <c r="K499" s="13" t="e">
        <v>#N/A</v>
      </c>
      <c r="L499" s="14" t="e">
        <v>#N/A</v>
      </c>
      <c r="M499" s="14" t="e">
        <v>#N/A</v>
      </c>
    </row>
    <row r="500" spans="5:13">
      <c r="E500" s="13" t="e">
        <v>#N/A</v>
      </c>
      <c r="F500" s="13" t="e">
        <v>#N/A</v>
      </c>
      <c r="G500" s="14" t="e">
        <v>#N/A</v>
      </c>
      <c r="H500" s="14" t="e">
        <v>#N/A</v>
      </c>
      <c r="J500" s="13" t="e">
        <v>#N/A</v>
      </c>
      <c r="K500" s="13" t="e">
        <v>#N/A</v>
      </c>
      <c r="L500" s="14" t="e">
        <v>#N/A</v>
      </c>
      <c r="M500" s="14" t="e">
        <v>#N/A</v>
      </c>
    </row>
    <row r="501" spans="5:13">
      <c r="E501" s="13" t="e">
        <v>#N/A</v>
      </c>
      <c r="F501" s="13" t="e">
        <v>#N/A</v>
      </c>
      <c r="G501" s="14" t="e">
        <v>#N/A</v>
      </c>
      <c r="H501" s="14" t="e">
        <v>#N/A</v>
      </c>
      <c r="J501" s="13" t="e">
        <v>#N/A</v>
      </c>
      <c r="K501" s="13" t="e">
        <v>#N/A</v>
      </c>
      <c r="L501" s="14" t="e">
        <v>#N/A</v>
      </c>
      <c r="M501" s="14" t="e">
        <v>#N/A</v>
      </c>
    </row>
    <row r="502" spans="5:13">
      <c r="E502" s="13" t="e">
        <v>#N/A</v>
      </c>
      <c r="F502" s="13" t="e">
        <v>#N/A</v>
      </c>
      <c r="G502" s="14" t="e">
        <v>#N/A</v>
      </c>
      <c r="H502" s="14" t="e">
        <v>#N/A</v>
      </c>
      <c r="J502" s="13" t="e">
        <v>#N/A</v>
      </c>
      <c r="K502" s="13" t="e">
        <v>#N/A</v>
      </c>
      <c r="L502" s="14" t="e">
        <v>#N/A</v>
      </c>
      <c r="M502" s="14" t="e">
        <v>#N/A</v>
      </c>
    </row>
    <row r="503" spans="5:13">
      <c r="E503" s="13" t="e">
        <v>#N/A</v>
      </c>
      <c r="F503" s="13" t="e">
        <v>#N/A</v>
      </c>
      <c r="G503" s="14" t="e">
        <v>#N/A</v>
      </c>
      <c r="H503" s="14" t="e">
        <v>#N/A</v>
      </c>
      <c r="J503" s="13" t="e">
        <v>#N/A</v>
      </c>
      <c r="K503" s="13" t="e">
        <v>#N/A</v>
      </c>
      <c r="L503" s="14" t="e">
        <v>#N/A</v>
      </c>
      <c r="M503" s="14" t="e">
        <v>#N/A</v>
      </c>
    </row>
    <row r="504" spans="5:13">
      <c r="E504" s="13" t="e">
        <v>#N/A</v>
      </c>
      <c r="F504" s="13" t="e">
        <v>#N/A</v>
      </c>
      <c r="G504" s="14" t="e">
        <v>#N/A</v>
      </c>
      <c r="H504" s="14" t="e">
        <v>#N/A</v>
      </c>
      <c r="J504" s="13" t="e">
        <v>#N/A</v>
      </c>
      <c r="K504" s="13" t="e">
        <v>#N/A</v>
      </c>
      <c r="L504" s="14" t="e">
        <v>#N/A</v>
      </c>
      <c r="M504" s="14" t="e">
        <v>#N/A</v>
      </c>
    </row>
    <row r="505" spans="5:13">
      <c r="E505" s="13" t="e">
        <v>#N/A</v>
      </c>
      <c r="F505" s="13" t="e">
        <v>#N/A</v>
      </c>
      <c r="G505" s="14" t="e">
        <v>#N/A</v>
      </c>
      <c r="H505" s="14" t="e">
        <v>#N/A</v>
      </c>
      <c r="J505" s="13" t="e">
        <v>#N/A</v>
      </c>
      <c r="K505" s="13" t="e">
        <v>#N/A</v>
      </c>
      <c r="L505" s="14" t="e">
        <v>#N/A</v>
      </c>
      <c r="M505" s="14" t="e">
        <v>#N/A</v>
      </c>
    </row>
    <row r="506" spans="5:13">
      <c r="E506" s="13" t="e">
        <v>#N/A</v>
      </c>
      <c r="F506" s="13" t="e">
        <v>#N/A</v>
      </c>
      <c r="G506" s="14" t="e">
        <v>#N/A</v>
      </c>
      <c r="H506" s="14" t="e">
        <v>#N/A</v>
      </c>
      <c r="J506" s="13" t="e">
        <v>#N/A</v>
      </c>
      <c r="K506" s="13" t="e">
        <v>#N/A</v>
      </c>
      <c r="L506" s="14" t="e">
        <v>#N/A</v>
      </c>
      <c r="M506" s="14" t="e">
        <v>#N/A</v>
      </c>
    </row>
    <row r="507" spans="5:13">
      <c r="E507" s="13" t="e">
        <v>#N/A</v>
      </c>
      <c r="F507" s="13" t="e">
        <v>#N/A</v>
      </c>
      <c r="G507" s="14" t="e">
        <v>#N/A</v>
      </c>
      <c r="H507" s="14" t="e">
        <v>#N/A</v>
      </c>
      <c r="J507" s="13" t="e">
        <v>#N/A</v>
      </c>
      <c r="K507" s="13" t="e">
        <v>#N/A</v>
      </c>
      <c r="L507" s="14" t="e">
        <v>#N/A</v>
      </c>
      <c r="M507" s="14" t="e">
        <v>#N/A</v>
      </c>
    </row>
    <row r="508" spans="5:13">
      <c r="E508" s="13" t="e">
        <v>#N/A</v>
      </c>
      <c r="F508" s="13" t="e">
        <v>#N/A</v>
      </c>
      <c r="G508" s="14" t="e">
        <v>#N/A</v>
      </c>
      <c r="H508" s="14" t="e">
        <v>#N/A</v>
      </c>
      <c r="J508" s="13" t="e">
        <v>#N/A</v>
      </c>
      <c r="K508" s="13" t="e">
        <v>#N/A</v>
      </c>
      <c r="L508" s="14" t="e">
        <v>#N/A</v>
      </c>
      <c r="M508" s="14" t="e">
        <v>#N/A</v>
      </c>
    </row>
    <row r="509" spans="5:13">
      <c r="E509" s="13" t="e">
        <v>#N/A</v>
      </c>
      <c r="F509" s="13" t="e">
        <v>#N/A</v>
      </c>
      <c r="G509" s="14" t="e">
        <v>#N/A</v>
      </c>
      <c r="H509" s="14" t="e">
        <v>#N/A</v>
      </c>
      <c r="J509" s="13" t="e">
        <v>#N/A</v>
      </c>
      <c r="K509" s="13" t="e">
        <v>#N/A</v>
      </c>
      <c r="L509" s="14" t="e">
        <v>#N/A</v>
      </c>
      <c r="M509" s="14" t="e">
        <v>#N/A</v>
      </c>
    </row>
    <row r="510" spans="5:13">
      <c r="E510" s="13" t="e">
        <v>#N/A</v>
      </c>
      <c r="F510" s="13" t="e">
        <v>#N/A</v>
      </c>
      <c r="G510" s="14" t="e">
        <v>#N/A</v>
      </c>
      <c r="H510" s="14" t="e">
        <v>#N/A</v>
      </c>
      <c r="J510" s="13" t="e">
        <v>#N/A</v>
      </c>
      <c r="K510" s="13" t="e">
        <v>#N/A</v>
      </c>
      <c r="L510" s="14" t="e">
        <v>#N/A</v>
      </c>
      <c r="M510" s="14" t="e">
        <v>#N/A</v>
      </c>
    </row>
    <row r="511" spans="5:13">
      <c r="E511" s="13" t="e">
        <v>#N/A</v>
      </c>
      <c r="F511" s="13" t="e">
        <v>#N/A</v>
      </c>
      <c r="G511" s="14" t="e">
        <v>#N/A</v>
      </c>
      <c r="H511" s="14" t="e">
        <v>#N/A</v>
      </c>
      <c r="J511" s="13" t="e">
        <v>#N/A</v>
      </c>
      <c r="K511" s="13" t="e">
        <v>#N/A</v>
      </c>
      <c r="L511" s="14" t="e">
        <v>#N/A</v>
      </c>
      <c r="M511" s="14" t="e">
        <v>#N/A</v>
      </c>
    </row>
    <row r="512" spans="5:13">
      <c r="E512" s="13" t="e">
        <v>#N/A</v>
      </c>
      <c r="F512" s="13" t="e">
        <v>#N/A</v>
      </c>
      <c r="G512" s="14" t="e">
        <v>#N/A</v>
      </c>
      <c r="H512" s="14" t="e">
        <v>#N/A</v>
      </c>
      <c r="J512" s="13" t="e">
        <v>#N/A</v>
      </c>
      <c r="K512" s="13" t="e">
        <v>#N/A</v>
      </c>
      <c r="L512" s="14" t="e">
        <v>#N/A</v>
      </c>
      <c r="M512" s="14" t="e">
        <v>#N/A</v>
      </c>
    </row>
    <row r="513" spans="5:13">
      <c r="E513" s="13" t="e">
        <v>#N/A</v>
      </c>
      <c r="F513" s="13" t="e">
        <v>#N/A</v>
      </c>
      <c r="G513" s="14" t="e">
        <v>#N/A</v>
      </c>
      <c r="H513" s="14" t="e">
        <v>#N/A</v>
      </c>
      <c r="J513" s="13" t="e">
        <v>#N/A</v>
      </c>
      <c r="K513" s="13" t="e">
        <v>#N/A</v>
      </c>
      <c r="L513" s="14" t="e">
        <v>#N/A</v>
      </c>
      <c r="M513" s="14" t="e">
        <v>#N/A</v>
      </c>
    </row>
    <row r="514" spans="5:13">
      <c r="E514" s="13" t="e">
        <v>#N/A</v>
      </c>
      <c r="F514" s="13" t="e">
        <v>#N/A</v>
      </c>
      <c r="G514" s="14" t="e">
        <v>#N/A</v>
      </c>
      <c r="H514" s="14" t="e">
        <v>#N/A</v>
      </c>
      <c r="J514" s="13" t="e">
        <v>#N/A</v>
      </c>
      <c r="K514" s="13" t="e">
        <v>#N/A</v>
      </c>
      <c r="L514" s="14" t="e">
        <v>#N/A</v>
      </c>
      <c r="M514" s="14" t="e">
        <v>#N/A</v>
      </c>
    </row>
    <row r="515" spans="5:13">
      <c r="E515" s="13" t="e">
        <v>#N/A</v>
      </c>
      <c r="F515" s="13" t="e">
        <v>#N/A</v>
      </c>
      <c r="G515" s="14" t="e">
        <v>#N/A</v>
      </c>
      <c r="H515" s="14" t="e">
        <v>#N/A</v>
      </c>
      <c r="J515" s="13" t="e">
        <v>#N/A</v>
      </c>
      <c r="K515" s="13" t="e">
        <v>#N/A</v>
      </c>
      <c r="L515" s="14" t="e">
        <v>#N/A</v>
      </c>
      <c r="M515" s="14" t="e">
        <v>#N/A</v>
      </c>
    </row>
    <row r="516" spans="5:13">
      <c r="E516" s="13" t="e">
        <v>#N/A</v>
      </c>
      <c r="F516" s="13" t="e">
        <v>#N/A</v>
      </c>
      <c r="G516" s="14" t="e">
        <v>#N/A</v>
      </c>
      <c r="H516" s="14" t="e">
        <v>#N/A</v>
      </c>
      <c r="J516" s="13" t="e">
        <v>#N/A</v>
      </c>
      <c r="K516" s="13" t="e">
        <v>#N/A</v>
      </c>
      <c r="L516" s="14" t="e">
        <v>#N/A</v>
      </c>
      <c r="M516" s="14" t="e">
        <v>#N/A</v>
      </c>
    </row>
    <row r="517" spans="5:13">
      <c r="E517" s="13" t="e">
        <v>#N/A</v>
      </c>
      <c r="F517" s="13" t="e">
        <v>#N/A</v>
      </c>
      <c r="G517" s="14" t="e">
        <v>#N/A</v>
      </c>
      <c r="H517" s="14" t="e">
        <v>#N/A</v>
      </c>
      <c r="J517" s="13" t="e">
        <v>#N/A</v>
      </c>
      <c r="K517" s="13" t="e">
        <v>#N/A</v>
      </c>
      <c r="L517" s="14" t="e">
        <v>#N/A</v>
      </c>
      <c r="M517" s="14" t="e">
        <v>#N/A</v>
      </c>
    </row>
    <row r="518" spans="5:13">
      <c r="E518" s="13" t="e">
        <v>#N/A</v>
      </c>
      <c r="F518" s="13" t="e">
        <v>#N/A</v>
      </c>
      <c r="G518" s="14" t="e">
        <v>#N/A</v>
      </c>
      <c r="H518" s="14" t="e">
        <v>#N/A</v>
      </c>
      <c r="J518" s="13" t="e">
        <v>#N/A</v>
      </c>
      <c r="K518" s="13" t="e">
        <v>#N/A</v>
      </c>
      <c r="L518" s="14" t="e">
        <v>#N/A</v>
      </c>
      <c r="M518" s="14" t="e">
        <v>#N/A</v>
      </c>
    </row>
    <row r="519" spans="5:13">
      <c r="E519" s="13" t="e">
        <v>#N/A</v>
      </c>
      <c r="F519" s="13" t="e">
        <v>#N/A</v>
      </c>
      <c r="G519" s="14" t="e">
        <v>#N/A</v>
      </c>
      <c r="H519" s="14" t="e">
        <v>#N/A</v>
      </c>
      <c r="J519" s="13" t="e">
        <v>#N/A</v>
      </c>
      <c r="K519" s="13" t="e">
        <v>#N/A</v>
      </c>
      <c r="L519" s="14" t="e">
        <v>#N/A</v>
      </c>
      <c r="M519" s="14" t="e">
        <v>#N/A</v>
      </c>
    </row>
    <row r="520" spans="5:13">
      <c r="E520" s="13" t="e">
        <v>#N/A</v>
      </c>
      <c r="F520" s="13" t="e">
        <v>#N/A</v>
      </c>
      <c r="G520" s="14" t="e">
        <v>#N/A</v>
      </c>
      <c r="H520" s="14" t="e">
        <v>#N/A</v>
      </c>
      <c r="J520" s="13" t="e">
        <v>#N/A</v>
      </c>
      <c r="K520" s="13" t="e">
        <v>#N/A</v>
      </c>
      <c r="L520" s="14" t="e">
        <v>#N/A</v>
      </c>
      <c r="M520" s="14" t="e">
        <v>#N/A</v>
      </c>
    </row>
    <row r="521" spans="5:13">
      <c r="E521" s="13" t="e">
        <v>#N/A</v>
      </c>
      <c r="F521" s="13" t="e">
        <v>#N/A</v>
      </c>
      <c r="G521" s="14" t="e">
        <v>#N/A</v>
      </c>
      <c r="H521" s="14" t="e">
        <v>#N/A</v>
      </c>
      <c r="J521" s="13" t="e">
        <v>#N/A</v>
      </c>
      <c r="K521" s="13" t="e">
        <v>#N/A</v>
      </c>
      <c r="L521" s="14" t="e">
        <v>#N/A</v>
      </c>
      <c r="M521" s="14" t="e">
        <v>#N/A</v>
      </c>
    </row>
    <row r="522" spans="5:13">
      <c r="E522" s="13" t="e">
        <v>#N/A</v>
      </c>
      <c r="F522" s="13" t="e">
        <v>#N/A</v>
      </c>
      <c r="G522" s="14" t="e">
        <v>#N/A</v>
      </c>
      <c r="H522" s="14" t="e">
        <v>#N/A</v>
      </c>
      <c r="J522" s="13" t="e">
        <v>#N/A</v>
      </c>
      <c r="K522" s="13" t="e">
        <v>#N/A</v>
      </c>
      <c r="L522" s="14" t="e">
        <v>#N/A</v>
      </c>
      <c r="M522" s="14" t="e">
        <v>#N/A</v>
      </c>
    </row>
    <row r="523" spans="5:13">
      <c r="E523" s="13" t="e">
        <v>#N/A</v>
      </c>
      <c r="F523" s="13" t="e">
        <v>#N/A</v>
      </c>
      <c r="G523" s="14" t="e">
        <v>#N/A</v>
      </c>
      <c r="H523" s="14" t="e">
        <v>#N/A</v>
      </c>
      <c r="J523" s="13" t="e">
        <v>#N/A</v>
      </c>
      <c r="K523" s="13" t="e">
        <v>#N/A</v>
      </c>
      <c r="L523" s="14" t="e">
        <v>#N/A</v>
      </c>
      <c r="M523" s="14" t="e">
        <v>#N/A</v>
      </c>
    </row>
    <row r="524" spans="5:13">
      <c r="E524" s="13" t="e">
        <v>#N/A</v>
      </c>
      <c r="F524" s="13" t="e">
        <v>#N/A</v>
      </c>
      <c r="G524" s="14" t="e">
        <v>#N/A</v>
      </c>
      <c r="H524" s="14" t="e">
        <v>#N/A</v>
      </c>
      <c r="J524" s="13" t="e">
        <v>#N/A</v>
      </c>
      <c r="K524" s="13" t="e">
        <v>#N/A</v>
      </c>
      <c r="L524" s="14" t="e">
        <v>#N/A</v>
      </c>
      <c r="M524" s="14" t="e">
        <v>#N/A</v>
      </c>
    </row>
    <row r="525" spans="5:13">
      <c r="E525" s="13" t="e">
        <v>#N/A</v>
      </c>
      <c r="F525" s="13" t="e">
        <v>#N/A</v>
      </c>
      <c r="G525" s="14" t="e">
        <v>#N/A</v>
      </c>
      <c r="H525" s="14" t="e">
        <v>#N/A</v>
      </c>
      <c r="J525" s="13" t="e">
        <v>#N/A</v>
      </c>
      <c r="K525" s="13" t="e">
        <v>#N/A</v>
      </c>
      <c r="L525" s="14" t="e">
        <v>#N/A</v>
      </c>
      <c r="M525" s="14" t="e">
        <v>#N/A</v>
      </c>
    </row>
    <row r="526" spans="5:13">
      <c r="E526" s="13" t="e">
        <v>#N/A</v>
      </c>
      <c r="F526" s="13" t="e">
        <v>#N/A</v>
      </c>
      <c r="G526" s="14" t="e">
        <v>#N/A</v>
      </c>
      <c r="H526" s="14" t="e">
        <v>#N/A</v>
      </c>
      <c r="J526" s="13" t="e">
        <v>#N/A</v>
      </c>
      <c r="K526" s="13" t="e">
        <v>#N/A</v>
      </c>
      <c r="L526" s="14" t="e">
        <v>#N/A</v>
      </c>
      <c r="M526" s="14" t="e">
        <v>#N/A</v>
      </c>
    </row>
    <row r="527" spans="5:13">
      <c r="E527" s="13" t="e">
        <v>#N/A</v>
      </c>
      <c r="F527" s="13" t="e">
        <v>#N/A</v>
      </c>
      <c r="G527" s="14" t="e">
        <v>#N/A</v>
      </c>
      <c r="H527" s="14" t="e">
        <v>#N/A</v>
      </c>
      <c r="J527" s="13" t="e">
        <v>#N/A</v>
      </c>
      <c r="K527" s="13" t="e">
        <v>#N/A</v>
      </c>
      <c r="L527" s="14" t="e">
        <v>#N/A</v>
      </c>
      <c r="M527" s="14" t="e">
        <v>#N/A</v>
      </c>
    </row>
    <row r="528" spans="5:13">
      <c r="E528" s="13" t="e">
        <v>#N/A</v>
      </c>
      <c r="F528" s="13" t="e">
        <v>#N/A</v>
      </c>
      <c r="G528" s="14" t="e">
        <v>#N/A</v>
      </c>
      <c r="H528" s="14" t="e">
        <v>#N/A</v>
      </c>
      <c r="J528" s="13" t="e">
        <v>#N/A</v>
      </c>
      <c r="K528" s="13" t="e">
        <v>#N/A</v>
      </c>
      <c r="L528" s="14" t="e">
        <v>#N/A</v>
      </c>
      <c r="M528" s="14" t="e">
        <v>#N/A</v>
      </c>
    </row>
    <row r="529" spans="5:13">
      <c r="E529" s="13" t="e">
        <v>#N/A</v>
      </c>
      <c r="F529" s="13" t="e">
        <v>#N/A</v>
      </c>
      <c r="G529" s="14" t="e">
        <v>#N/A</v>
      </c>
      <c r="H529" s="14" t="e">
        <v>#N/A</v>
      </c>
      <c r="J529" s="13" t="e">
        <v>#N/A</v>
      </c>
      <c r="K529" s="13" t="e">
        <v>#N/A</v>
      </c>
      <c r="L529" s="14" t="e">
        <v>#N/A</v>
      </c>
      <c r="M529" s="14" t="e">
        <v>#N/A</v>
      </c>
    </row>
    <row r="530" spans="5:13">
      <c r="E530" s="13" t="e">
        <v>#N/A</v>
      </c>
      <c r="F530" s="13" t="e">
        <v>#N/A</v>
      </c>
      <c r="G530" s="14" t="e">
        <v>#N/A</v>
      </c>
      <c r="H530" s="14" t="e">
        <v>#N/A</v>
      </c>
      <c r="J530" s="13" t="e">
        <v>#N/A</v>
      </c>
      <c r="K530" s="13" t="e">
        <v>#N/A</v>
      </c>
      <c r="L530" s="14" t="e">
        <v>#N/A</v>
      </c>
      <c r="M530" s="14" t="e">
        <v>#N/A</v>
      </c>
    </row>
    <row r="531" spans="5:13">
      <c r="E531" s="13" t="e">
        <v>#N/A</v>
      </c>
      <c r="F531" s="13" t="e">
        <v>#N/A</v>
      </c>
      <c r="G531" s="14" t="e">
        <v>#N/A</v>
      </c>
      <c r="H531" s="14" t="e">
        <v>#N/A</v>
      </c>
      <c r="J531" s="13" t="e">
        <v>#N/A</v>
      </c>
      <c r="K531" s="13" t="e">
        <v>#N/A</v>
      </c>
      <c r="L531" s="14" t="e">
        <v>#N/A</v>
      </c>
      <c r="M531" s="14" t="e">
        <v>#N/A</v>
      </c>
    </row>
    <row r="532" spans="5:13">
      <c r="E532" s="13" t="e">
        <v>#N/A</v>
      </c>
      <c r="F532" s="13" t="e">
        <v>#N/A</v>
      </c>
      <c r="G532" s="14" t="e">
        <v>#N/A</v>
      </c>
      <c r="H532" s="14" t="e">
        <v>#N/A</v>
      </c>
      <c r="J532" s="13" t="e">
        <v>#N/A</v>
      </c>
      <c r="K532" s="13" t="e">
        <v>#N/A</v>
      </c>
      <c r="L532" s="14" t="e">
        <v>#N/A</v>
      </c>
      <c r="M532" s="14" t="e">
        <v>#N/A</v>
      </c>
    </row>
    <row r="533" spans="5:13">
      <c r="E533" s="13" t="e">
        <v>#N/A</v>
      </c>
      <c r="F533" s="13" t="e">
        <v>#N/A</v>
      </c>
      <c r="G533" s="14" t="e">
        <v>#N/A</v>
      </c>
      <c r="H533" s="14" t="e">
        <v>#N/A</v>
      </c>
      <c r="J533" s="13" t="e">
        <v>#N/A</v>
      </c>
      <c r="K533" s="13" t="e">
        <v>#N/A</v>
      </c>
      <c r="L533" s="14" t="e">
        <v>#N/A</v>
      </c>
      <c r="M533" s="14" t="e">
        <v>#N/A</v>
      </c>
    </row>
    <row r="534" spans="5:13">
      <c r="E534" s="13" t="e">
        <v>#N/A</v>
      </c>
      <c r="F534" s="13" t="e">
        <v>#N/A</v>
      </c>
      <c r="G534" s="14" t="e">
        <v>#N/A</v>
      </c>
      <c r="H534" s="14" t="e">
        <v>#N/A</v>
      </c>
      <c r="J534" s="13" t="e">
        <v>#N/A</v>
      </c>
      <c r="K534" s="13" t="e">
        <v>#N/A</v>
      </c>
      <c r="L534" s="14" t="e">
        <v>#N/A</v>
      </c>
      <c r="M534" s="14" t="e">
        <v>#N/A</v>
      </c>
    </row>
    <row r="535" spans="5:13">
      <c r="E535" s="13" t="e">
        <v>#N/A</v>
      </c>
      <c r="F535" s="13" t="e">
        <v>#N/A</v>
      </c>
      <c r="G535" s="14" t="e">
        <v>#N/A</v>
      </c>
      <c r="H535" s="14" t="e">
        <v>#N/A</v>
      </c>
      <c r="J535" s="13" t="e">
        <v>#N/A</v>
      </c>
      <c r="K535" s="13" t="e">
        <v>#N/A</v>
      </c>
      <c r="L535" s="14" t="e">
        <v>#N/A</v>
      </c>
      <c r="M535" s="14" t="e">
        <v>#N/A</v>
      </c>
    </row>
    <row r="536" spans="5:13">
      <c r="E536" s="13" t="e">
        <v>#N/A</v>
      </c>
      <c r="F536" s="13" t="e">
        <v>#N/A</v>
      </c>
      <c r="G536" s="14" t="e">
        <v>#N/A</v>
      </c>
      <c r="H536" s="14" t="e">
        <v>#N/A</v>
      </c>
      <c r="J536" s="13" t="e">
        <v>#N/A</v>
      </c>
      <c r="K536" s="13" t="e">
        <v>#N/A</v>
      </c>
      <c r="L536" s="14" t="e">
        <v>#N/A</v>
      </c>
      <c r="M536" s="14" t="e">
        <v>#N/A</v>
      </c>
    </row>
    <row r="537" spans="5:13">
      <c r="E537" s="13" t="e">
        <v>#N/A</v>
      </c>
      <c r="F537" s="13" t="e">
        <v>#N/A</v>
      </c>
      <c r="G537" s="14" t="e">
        <v>#N/A</v>
      </c>
      <c r="H537" s="14" t="e">
        <v>#N/A</v>
      </c>
      <c r="J537" s="13" t="e">
        <v>#N/A</v>
      </c>
      <c r="K537" s="13" t="e">
        <v>#N/A</v>
      </c>
      <c r="L537" s="14" t="e">
        <v>#N/A</v>
      </c>
      <c r="M537" s="14" t="e">
        <v>#N/A</v>
      </c>
    </row>
    <row r="538" spans="5:13">
      <c r="E538" s="13" t="e">
        <v>#N/A</v>
      </c>
      <c r="F538" s="13" t="e">
        <v>#N/A</v>
      </c>
      <c r="G538" s="14" t="e">
        <v>#N/A</v>
      </c>
      <c r="H538" s="14" t="e">
        <v>#N/A</v>
      </c>
      <c r="J538" s="13" t="e">
        <v>#N/A</v>
      </c>
      <c r="K538" s="13" t="e">
        <v>#N/A</v>
      </c>
      <c r="L538" s="14" t="e">
        <v>#N/A</v>
      </c>
      <c r="M538" s="14" t="e">
        <v>#N/A</v>
      </c>
    </row>
    <row r="539" spans="5:13">
      <c r="E539" s="13" t="e">
        <v>#N/A</v>
      </c>
      <c r="F539" s="13" t="e">
        <v>#N/A</v>
      </c>
      <c r="G539" s="14" t="e">
        <v>#N/A</v>
      </c>
      <c r="H539" s="14" t="e">
        <v>#N/A</v>
      </c>
      <c r="J539" s="13" t="e">
        <v>#N/A</v>
      </c>
      <c r="K539" s="13" t="e">
        <v>#N/A</v>
      </c>
      <c r="L539" s="14" t="e">
        <v>#N/A</v>
      </c>
      <c r="M539" s="14" t="e">
        <v>#N/A</v>
      </c>
    </row>
    <row r="540" spans="5:13">
      <c r="E540" s="13" t="e">
        <v>#N/A</v>
      </c>
      <c r="F540" s="13" t="e">
        <v>#N/A</v>
      </c>
      <c r="G540" s="14" t="e">
        <v>#N/A</v>
      </c>
      <c r="H540" s="14" t="e">
        <v>#N/A</v>
      </c>
      <c r="J540" s="13" t="e">
        <v>#N/A</v>
      </c>
      <c r="K540" s="13" t="e">
        <v>#N/A</v>
      </c>
      <c r="L540" s="14" t="e">
        <v>#N/A</v>
      </c>
      <c r="M540" s="14" t="e">
        <v>#N/A</v>
      </c>
    </row>
    <row r="541" spans="5:13">
      <c r="E541" s="13" t="e">
        <v>#N/A</v>
      </c>
      <c r="F541" s="13" t="e">
        <v>#N/A</v>
      </c>
      <c r="G541" s="14" t="e">
        <v>#N/A</v>
      </c>
      <c r="H541" s="14" t="e">
        <v>#N/A</v>
      </c>
      <c r="J541" s="13" t="e">
        <v>#N/A</v>
      </c>
      <c r="K541" s="13" t="e">
        <v>#N/A</v>
      </c>
      <c r="L541" s="14" t="e">
        <v>#N/A</v>
      </c>
      <c r="M541" s="14" t="e">
        <v>#N/A</v>
      </c>
    </row>
    <row r="542" spans="5:13">
      <c r="E542" s="13" t="e">
        <v>#N/A</v>
      </c>
      <c r="F542" s="13" t="e">
        <v>#N/A</v>
      </c>
      <c r="G542" s="14" t="e">
        <v>#N/A</v>
      </c>
      <c r="H542" s="14" t="e">
        <v>#N/A</v>
      </c>
      <c r="J542" s="13" t="e">
        <v>#N/A</v>
      </c>
      <c r="K542" s="13" t="e">
        <v>#N/A</v>
      </c>
      <c r="L542" s="14" t="e">
        <v>#N/A</v>
      </c>
      <c r="M542" s="14" t="e">
        <v>#N/A</v>
      </c>
    </row>
    <row r="543" spans="5:13">
      <c r="E543" s="13" t="e">
        <v>#N/A</v>
      </c>
      <c r="F543" s="13" t="e">
        <v>#N/A</v>
      </c>
      <c r="G543" s="14" t="e">
        <v>#N/A</v>
      </c>
      <c r="H543" s="14" t="e">
        <v>#N/A</v>
      </c>
      <c r="J543" s="13" t="e">
        <v>#N/A</v>
      </c>
      <c r="K543" s="13" t="e">
        <v>#N/A</v>
      </c>
      <c r="L543" s="14" t="e">
        <v>#N/A</v>
      </c>
      <c r="M543" s="14" t="e">
        <v>#N/A</v>
      </c>
    </row>
    <row r="544" spans="5:13">
      <c r="E544" s="13" t="e">
        <v>#N/A</v>
      </c>
      <c r="F544" s="13" t="e">
        <v>#N/A</v>
      </c>
      <c r="G544" s="14" t="e">
        <v>#N/A</v>
      </c>
      <c r="H544" s="14" t="e">
        <v>#N/A</v>
      </c>
      <c r="J544" s="13" t="e">
        <v>#N/A</v>
      </c>
      <c r="K544" s="13" t="e">
        <v>#N/A</v>
      </c>
      <c r="L544" s="14" t="e">
        <v>#N/A</v>
      </c>
      <c r="M544" s="14" t="e">
        <v>#N/A</v>
      </c>
    </row>
    <row r="545" spans="5:13">
      <c r="E545" s="13" t="e">
        <v>#N/A</v>
      </c>
      <c r="F545" s="13" t="e">
        <v>#N/A</v>
      </c>
      <c r="G545" s="14" t="e">
        <v>#N/A</v>
      </c>
      <c r="H545" s="14" t="e">
        <v>#N/A</v>
      </c>
      <c r="J545" s="13" t="e">
        <v>#N/A</v>
      </c>
      <c r="K545" s="13" t="e">
        <v>#N/A</v>
      </c>
      <c r="L545" s="14" t="e">
        <v>#N/A</v>
      </c>
      <c r="M545" s="14" t="e">
        <v>#N/A</v>
      </c>
    </row>
    <row r="546" spans="5:13">
      <c r="E546" s="13" t="e">
        <v>#N/A</v>
      </c>
      <c r="F546" s="13" t="e">
        <v>#N/A</v>
      </c>
      <c r="G546" s="14" t="e">
        <v>#N/A</v>
      </c>
      <c r="H546" s="14" t="e">
        <v>#N/A</v>
      </c>
      <c r="J546" s="13" t="e">
        <v>#N/A</v>
      </c>
      <c r="K546" s="13" t="e">
        <v>#N/A</v>
      </c>
      <c r="L546" s="14" t="e">
        <v>#N/A</v>
      </c>
      <c r="M546" s="14" t="e">
        <v>#N/A</v>
      </c>
    </row>
    <row r="547" spans="5:13">
      <c r="E547" s="13" t="e">
        <v>#N/A</v>
      </c>
      <c r="F547" s="13" t="e">
        <v>#N/A</v>
      </c>
      <c r="G547" s="14" t="e">
        <v>#N/A</v>
      </c>
      <c r="H547" s="14" t="e">
        <v>#N/A</v>
      </c>
      <c r="J547" s="13" t="e">
        <v>#N/A</v>
      </c>
      <c r="K547" s="13" t="e">
        <v>#N/A</v>
      </c>
      <c r="L547" s="14" t="e">
        <v>#N/A</v>
      </c>
      <c r="M547" s="14" t="e">
        <v>#N/A</v>
      </c>
    </row>
    <row r="548" spans="5:13">
      <c r="E548" s="13" t="e">
        <v>#N/A</v>
      </c>
      <c r="F548" s="13" t="e">
        <v>#N/A</v>
      </c>
      <c r="G548" s="14" t="e">
        <v>#N/A</v>
      </c>
      <c r="H548" s="14" t="e">
        <v>#N/A</v>
      </c>
      <c r="J548" s="13" t="e">
        <v>#N/A</v>
      </c>
      <c r="K548" s="13" t="e">
        <v>#N/A</v>
      </c>
      <c r="L548" s="14" t="e">
        <v>#N/A</v>
      </c>
      <c r="M548" s="14" t="e">
        <v>#N/A</v>
      </c>
    </row>
    <row r="549" spans="5:13">
      <c r="E549" s="13" t="e">
        <v>#N/A</v>
      </c>
      <c r="F549" s="13" t="e">
        <v>#N/A</v>
      </c>
      <c r="G549" s="14" t="e">
        <v>#N/A</v>
      </c>
      <c r="H549" s="14" t="e">
        <v>#N/A</v>
      </c>
      <c r="J549" s="13" t="e">
        <v>#N/A</v>
      </c>
      <c r="K549" s="13" t="e">
        <v>#N/A</v>
      </c>
      <c r="L549" s="14" t="e">
        <v>#N/A</v>
      </c>
      <c r="M549" s="14" t="e">
        <v>#N/A</v>
      </c>
    </row>
    <row r="550" spans="5:13">
      <c r="E550" s="13" t="e">
        <v>#N/A</v>
      </c>
      <c r="F550" s="13" t="e">
        <v>#N/A</v>
      </c>
      <c r="G550" s="14" t="e">
        <v>#N/A</v>
      </c>
      <c r="H550" s="14" t="e">
        <v>#N/A</v>
      </c>
      <c r="J550" s="13" t="e">
        <v>#N/A</v>
      </c>
      <c r="K550" s="13" t="e">
        <v>#N/A</v>
      </c>
      <c r="L550" s="14" t="e">
        <v>#N/A</v>
      </c>
      <c r="M550" s="14" t="e">
        <v>#N/A</v>
      </c>
    </row>
    <row r="551" spans="5:13">
      <c r="E551" s="13" t="e">
        <v>#N/A</v>
      </c>
      <c r="F551" s="13" t="e">
        <v>#N/A</v>
      </c>
      <c r="G551" s="14" t="e">
        <v>#N/A</v>
      </c>
      <c r="H551" s="14" t="e">
        <v>#N/A</v>
      </c>
      <c r="J551" s="13" t="e">
        <v>#N/A</v>
      </c>
      <c r="K551" s="13" t="e">
        <v>#N/A</v>
      </c>
      <c r="L551" s="14" t="e">
        <v>#N/A</v>
      </c>
      <c r="M551" s="14" t="e">
        <v>#N/A</v>
      </c>
    </row>
    <row r="552" spans="5:13">
      <c r="E552" s="13" t="e">
        <v>#N/A</v>
      </c>
      <c r="F552" s="13" t="e">
        <v>#N/A</v>
      </c>
      <c r="G552" s="14" t="e">
        <v>#N/A</v>
      </c>
      <c r="H552" s="14" t="e">
        <v>#N/A</v>
      </c>
      <c r="J552" s="13" t="e">
        <v>#N/A</v>
      </c>
      <c r="K552" s="13" t="e">
        <v>#N/A</v>
      </c>
      <c r="L552" s="14" t="e">
        <v>#N/A</v>
      </c>
      <c r="M552" s="14" t="e">
        <v>#N/A</v>
      </c>
    </row>
    <row r="553" spans="5:13">
      <c r="E553" s="13" t="e">
        <v>#N/A</v>
      </c>
      <c r="F553" s="13" t="e">
        <v>#N/A</v>
      </c>
      <c r="G553" s="14" t="e">
        <v>#N/A</v>
      </c>
      <c r="H553" s="14" t="e">
        <v>#N/A</v>
      </c>
      <c r="J553" s="13" t="e">
        <v>#N/A</v>
      </c>
      <c r="K553" s="13" t="e">
        <v>#N/A</v>
      </c>
      <c r="L553" s="14" t="e">
        <v>#N/A</v>
      </c>
      <c r="M553" s="14" t="e">
        <v>#N/A</v>
      </c>
    </row>
    <row r="554" spans="5:13">
      <c r="E554" s="13" t="e">
        <v>#N/A</v>
      </c>
      <c r="F554" s="13" t="e">
        <v>#N/A</v>
      </c>
      <c r="G554" s="14" t="e">
        <v>#N/A</v>
      </c>
      <c r="H554" s="14" t="e">
        <v>#N/A</v>
      </c>
      <c r="J554" s="13" t="e">
        <v>#N/A</v>
      </c>
      <c r="K554" s="13" t="e">
        <v>#N/A</v>
      </c>
      <c r="L554" s="14" t="e">
        <v>#N/A</v>
      </c>
      <c r="M554" s="14" t="e">
        <v>#N/A</v>
      </c>
    </row>
    <row r="555" spans="5:13">
      <c r="E555" s="13" t="e">
        <v>#N/A</v>
      </c>
      <c r="F555" s="13" t="e">
        <v>#N/A</v>
      </c>
      <c r="G555" s="14" t="e">
        <v>#N/A</v>
      </c>
      <c r="H555" s="14" t="e">
        <v>#N/A</v>
      </c>
      <c r="J555" s="13" t="e">
        <v>#N/A</v>
      </c>
      <c r="K555" s="13" t="e">
        <v>#N/A</v>
      </c>
      <c r="L555" s="14" t="e">
        <v>#N/A</v>
      </c>
      <c r="M555" s="14" t="e">
        <v>#N/A</v>
      </c>
    </row>
    <row r="556" spans="5:13">
      <c r="E556" s="13" t="e">
        <v>#N/A</v>
      </c>
      <c r="F556" s="13" t="e">
        <v>#N/A</v>
      </c>
      <c r="G556" s="14" t="e">
        <v>#N/A</v>
      </c>
      <c r="H556" s="14" t="e">
        <v>#N/A</v>
      </c>
      <c r="J556" s="13" t="e">
        <v>#N/A</v>
      </c>
      <c r="K556" s="13" t="e">
        <v>#N/A</v>
      </c>
      <c r="L556" s="14" t="e">
        <v>#N/A</v>
      </c>
      <c r="M556" s="14" t="e">
        <v>#N/A</v>
      </c>
    </row>
    <row r="557" spans="5:13">
      <c r="E557" s="13" t="e">
        <v>#N/A</v>
      </c>
      <c r="F557" s="13" t="e">
        <v>#N/A</v>
      </c>
      <c r="G557" s="14" t="e">
        <v>#N/A</v>
      </c>
      <c r="H557" s="14" t="e">
        <v>#N/A</v>
      </c>
      <c r="J557" s="13" t="e">
        <v>#N/A</v>
      </c>
      <c r="K557" s="13" t="e">
        <v>#N/A</v>
      </c>
      <c r="L557" s="14" t="e">
        <v>#N/A</v>
      </c>
      <c r="M557" s="14" t="e">
        <v>#N/A</v>
      </c>
    </row>
    <row r="558" spans="5:13">
      <c r="E558" s="13" t="e">
        <v>#N/A</v>
      </c>
      <c r="F558" s="13" t="e">
        <v>#N/A</v>
      </c>
      <c r="G558" s="14" t="e">
        <v>#N/A</v>
      </c>
      <c r="H558" s="14" t="e">
        <v>#N/A</v>
      </c>
      <c r="J558" s="13" t="e">
        <v>#N/A</v>
      </c>
      <c r="K558" s="13" t="e">
        <v>#N/A</v>
      </c>
      <c r="L558" s="14" t="e">
        <v>#N/A</v>
      </c>
      <c r="M558" s="14" t="e">
        <v>#N/A</v>
      </c>
    </row>
    <row r="559" spans="5:13">
      <c r="E559" s="13" t="e">
        <v>#N/A</v>
      </c>
      <c r="F559" s="13" t="e">
        <v>#N/A</v>
      </c>
      <c r="G559" s="14" t="e">
        <v>#N/A</v>
      </c>
      <c r="H559" s="14" t="e">
        <v>#N/A</v>
      </c>
      <c r="J559" s="13" t="e">
        <v>#N/A</v>
      </c>
      <c r="K559" s="13" t="e">
        <v>#N/A</v>
      </c>
      <c r="L559" s="14" t="e">
        <v>#N/A</v>
      </c>
      <c r="M559" s="14" t="e">
        <v>#N/A</v>
      </c>
    </row>
    <row r="560" spans="5:13">
      <c r="E560" s="13" t="e">
        <v>#N/A</v>
      </c>
      <c r="F560" s="13" t="e">
        <v>#N/A</v>
      </c>
      <c r="G560" s="14" t="e">
        <v>#N/A</v>
      </c>
      <c r="H560" s="14" t="e">
        <v>#N/A</v>
      </c>
      <c r="J560" s="13" t="e">
        <v>#N/A</v>
      </c>
      <c r="K560" s="13" t="e">
        <v>#N/A</v>
      </c>
      <c r="L560" s="14" t="e">
        <v>#N/A</v>
      </c>
      <c r="M560" s="14" t="e">
        <v>#N/A</v>
      </c>
    </row>
    <row r="561" spans="5:13">
      <c r="E561" s="13" t="e">
        <v>#N/A</v>
      </c>
      <c r="F561" s="13" t="e">
        <v>#N/A</v>
      </c>
      <c r="G561" s="14" t="e">
        <v>#N/A</v>
      </c>
      <c r="H561" s="14" t="e">
        <v>#N/A</v>
      </c>
      <c r="J561" s="13" t="e">
        <v>#N/A</v>
      </c>
      <c r="K561" s="13" t="e">
        <v>#N/A</v>
      </c>
      <c r="L561" s="14" t="e">
        <v>#N/A</v>
      </c>
      <c r="M561" s="14" t="e">
        <v>#N/A</v>
      </c>
    </row>
    <row r="562" spans="5:13">
      <c r="E562" s="13" t="e">
        <v>#N/A</v>
      </c>
      <c r="F562" s="13" t="e">
        <v>#N/A</v>
      </c>
      <c r="G562" s="14" t="e">
        <v>#N/A</v>
      </c>
      <c r="H562" s="14" t="e">
        <v>#N/A</v>
      </c>
      <c r="J562" s="13" t="e">
        <v>#N/A</v>
      </c>
      <c r="K562" s="13" t="e">
        <v>#N/A</v>
      </c>
      <c r="L562" s="14" t="e">
        <v>#N/A</v>
      </c>
      <c r="M562" s="14" t="e">
        <v>#N/A</v>
      </c>
    </row>
    <row r="563" spans="5:13">
      <c r="E563" s="13" t="e">
        <v>#N/A</v>
      </c>
      <c r="F563" s="13" t="e">
        <v>#N/A</v>
      </c>
      <c r="G563" s="14" t="e">
        <v>#N/A</v>
      </c>
      <c r="H563" s="14" t="e">
        <v>#N/A</v>
      </c>
      <c r="J563" s="13" t="e">
        <v>#N/A</v>
      </c>
      <c r="K563" s="13" t="e">
        <v>#N/A</v>
      </c>
      <c r="L563" s="14" t="e">
        <v>#N/A</v>
      </c>
      <c r="M563" s="14" t="e">
        <v>#N/A</v>
      </c>
    </row>
    <row r="564" spans="5:13">
      <c r="E564" s="13" t="e">
        <v>#N/A</v>
      </c>
      <c r="F564" s="13" t="e">
        <v>#N/A</v>
      </c>
      <c r="G564" s="14" t="e">
        <v>#N/A</v>
      </c>
      <c r="H564" s="14" t="e">
        <v>#N/A</v>
      </c>
      <c r="J564" s="13" t="e">
        <v>#N/A</v>
      </c>
      <c r="K564" s="13" t="e">
        <v>#N/A</v>
      </c>
      <c r="L564" s="14" t="e">
        <v>#N/A</v>
      </c>
      <c r="M564" s="14" t="e">
        <v>#N/A</v>
      </c>
    </row>
    <row r="565" spans="5:13">
      <c r="E565" s="13" t="e">
        <v>#N/A</v>
      </c>
      <c r="F565" s="13" t="e">
        <v>#N/A</v>
      </c>
      <c r="G565" s="14" t="e">
        <v>#N/A</v>
      </c>
      <c r="H565" s="14" t="e">
        <v>#N/A</v>
      </c>
      <c r="J565" s="13" t="e">
        <v>#N/A</v>
      </c>
      <c r="K565" s="13" t="e">
        <v>#N/A</v>
      </c>
      <c r="L565" s="14" t="e">
        <v>#N/A</v>
      </c>
      <c r="M565" s="14" t="e">
        <v>#N/A</v>
      </c>
    </row>
    <row r="566" spans="5:13">
      <c r="E566" s="13" t="e">
        <v>#N/A</v>
      </c>
      <c r="F566" s="13" t="e">
        <v>#N/A</v>
      </c>
      <c r="G566" s="14" t="e">
        <v>#N/A</v>
      </c>
      <c r="H566" s="14" t="e">
        <v>#N/A</v>
      </c>
      <c r="J566" s="13" t="e">
        <v>#N/A</v>
      </c>
      <c r="K566" s="13" t="e">
        <v>#N/A</v>
      </c>
      <c r="L566" s="14" t="e">
        <v>#N/A</v>
      </c>
      <c r="M566" s="14" t="e">
        <v>#N/A</v>
      </c>
    </row>
    <row r="567" spans="5:13">
      <c r="E567" s="13" t="e">
        <v>#N/A</v>
      </c>
      <c r="F567" s="13" t="e">
        <v>#N/A</v>
      </c>
      <c r="G567" s="14" t="e">
        <v>#N/A</v>
      </c>
      <c r="H567" s="14" t="e">
        <v>#N/A</v>
      </c>
      <c r="J567" s="13" t="e">
        <v>#N/A</v>
      </c>
      <c r="K567" s="13" t="e">
        <v>#N/A</v>
      </c>
      <c r="L567" s="14" t="e">
        <v>#N/A</v>
      </c>
      <c r="M567" s="14" t="e">
        <v>#N/A</v>
      </c>
    </row>
    <row r="568" spans="5:13">
      <c r="E568" s="13" t="e">
        <v>#N/A</v>
      </c>
      <c r="F568" s="13" t="e">
        <v>#N/A</v>
      </c>
      <c r="G568" s="14" t="e">
        <v>#N/A</v>
      </c>
      <c r="H568" s="14" t="e">
        <v>#N/A</v>
      </c>
      <c r="J568" s="13" t="e">
        <v>#N/A</v>
      </c>
      <c r="K568" s="13" t="e">
        <v>#N/A</v>
      </c>
      <c r="L568" s="14" t="e">
        <v>#N/A</v>
      </c>
      <c r="M568" s="14" t="e">
        <v>#N/A</v>
      </c>
    </row>
    <row r="569" spans="5:13">
      <c r="E569" s="13" t="e">
        <v>#N/A</v>
      </c>
      <c r="F569" s="13" t="e">
        <v>#N/A</v>
      </c>
      <c r="G569" s="14" t="e">
        <v>#N/A</v>
      </c>
      <c r="H569" s="14" t="e">
        <v>#N/A</v>
      </c>
      <c r="J569" s="13" t="e">
        <v>#N/A</v>
      </c>
      <c r="K569" s="13" t="e">
        <v>#N/A</v>
      </c>
      <c r="L569" s="14" t="e">
        <v>#N/A</v>
      </c>
      <c r="M569" s="14" t="e">
        <v>#N/A</v>
      </c>
    </row>
    <row r="570" spans="5:13">
      <c r="E570" s="13" t="e">
        <v>#N/A</v>
      </c>
      <c r="F570" s="13" t="e">
        <v>#N/A</v>
      </c>
      <c r="G570" s="14" t="e">
        <v>#N/A</v>
      </c>
      <c r="H570" s="14" t="e">
        <v>#N/A</v>
      </c>
      <c r="J570" s="13" t="e">
        <v>#N/A</v>
      </c>
      <c r="K570" s="13" t="e">
        <v>#N/A</v>
      </c>
      <c r="L570" s="14" t="e">
        <v>#N/A</v>
      </c>
      <c r="M570" s="14" t="e">
        <v>#N/A</v>
      </c>
    </row>
    <row r="571" spans="5:13">
      <c r="E571" s="13" t="e">
        <v>#N/A</v>
      </c>
      <c r="F571" s="13" t="e">
        <v>#N/A</v>
      </c>
      <c r="G571" s="14" t="e">
        <v>#N/A</v>
      </c>
      <c r="H571" s="14" t="e">
        <v>#N/A</v>
      </c>
      <c r="J571" s="13" t="e">
        <v>#N/A</v>
      </c>
      <c r="K571" s="13" t="e">
        <v>#N/A</v>
      </c>
      <c r="L571" s="14" t="e">
        <v>#N/A</v>
      </c>
      <c r="M571" s="14" t="e">
        <v>#N/A</v>
      </c>
    </row>
    <row r="572" spans="5:13">
      <c r="E572" s="13" t="e">
        <v>#N/A</v>
      </c>
      <c r="F572" s="13" t="e">
        <v>#N/A</v>
      </c>
      <c r="G572" s="14" t="e">
        <v>#N/A</v>
      </c>
      <c r="H572" s="14" t="e">
        <v>#N/A</v>
      </c>
      <c r="J572" s="13" t="e">
        <v>#N/A</v>
      </c>
      <c r="K572" s="13" t="e">
        <v>#N/A</v>
      </c>
      <c r="L572" s="14" t="e">
        <v>#N/A</v>
      </c>
      <c r="M572" s="14" t="e">
        <v>#N/A</v>
      </c>
    </row>
    <row r="573" spans="5:13">
      <c r="E573" s="13" t="e">
        <v>#N/A</v>
      </c>
      <c r="F573" s="13" t="e">
        <v>#N/A</v>
      </c>
      <c r="G573" s="14" t="e">
        <v>#N/A</v>
      </c>
      <c r="H573" s="14" t="e">
        <v>#N/A</v>
      </c>
      <c r="J573" s="13" t="e">
        <v>#N/A</v>
      </c>
      <c r="K573" s="13" t="e">
        <v>#N/A</v>
      </c>
      <c r="L573" s="14" t="e">
        <v>#N/A</v>
      </c>
      <c r="M573" s="14" t="e">
        <v>#N/A</v>
      </c>
    </row>
    <row r="574" spans="5:13">
      <c r="E574" s="13" t="e">
        <v>#N/A</v>
      </c>
      <c r="F574" s="13" t="e">
        <v>#N/A</v>
      </c>
      <c r="G574" s="14" t="e">
        <v>#N/A</v>
      </c>
      <c r="H574" s="14" t="e">
        <v>#N/A</v>
      </c>
      <c r="J574" s="13" t="e">
        <v>#N/A</v>
      </c>
      <c r="K574" s="13" t="e">
        <v>#N/A</v>
      </c>
      <c r="L574" s="14" t="e">
        <v>#N/A</v>
      </c>
      <c r="M574" s="14" t="e">
        <v>#N/A</v>
      </c>
    </row>
    <row r="575" spans="5:13">
      <c r="E575" s="13" t="e">
        <v>#N/A</v>
      </c>
      <c r="F575" s="13" t="e">
        <v>#N/A</v>
      </c>
      <c r="G575" s="14" t="e">
        <v>#N/A</v>
      </c>
      <c r="H575" s="14" t="e">
        <v>#N/A</v>
      </c>
      <c r="J575" s="13" t="e">
        <v>#N/A</v>
      </c>
      <c r="K575" s="13" t="e">
        <v>#N/A</v>
      </c>
      <c r="L575" s="14" t="e">
        <v>#N/A</v>
      </c>
      <c r="M575" s="14" t="e">
        <v>#N/A</v>
      </c>
    </row>
    <row r="576" spans="5:13">
      <c r="E576" s="13" t="e">
        <v>#N/A</v>
      </c>
      <c r="F576" s="13" t="e">
        <v>#N/A</v>
      </c>
      <c r="G576" s="14" t="e">
        <v>#N/A</v>
      </c>
      <c r="H576" s="14" t="e">
        <v>#N/A</v>
      </c>
      <c r="J576" s="13" t="e">
        <v>#N/A</v>
      </c>
      <c r="K576" s="13" t="e">
        <v>#N/A</v>
      </c>
      <c r="L576" s="14" t="e">
        <v>#N/A</v>
      </c>
      <c r="M576" s="14" t="e">
        <v>#N/A</v>
      </c>
    </row>
    <row r="577" spans="5:13">
      <c r="E577" s="13" t="e">
        <v>#N/A</v>
      </c>
      <c r="F577" s="13" t="e">
        <v>#N/A</v>
      </c>
      <c r="G577" s="14" t="e">
        <v>#N/A</v>
      </c>
      <c r="H577" s="14" t="e">
        <v>#N/A</v>
      </c>
      <c r="J577" s="13" t="e">
        <v>#N/A</v>
      </c>
      <c r="K577" s="13" t="e">
        <v>#N/A</v>
      </c>
      <c r="L577" s="14" t="e">
        <v>#N/A</v>
      </c>
      <c r="M577" s="14" t="e">
        <v>#N/A</v>
      </c>
    </row>
    <row r="578" spans="5:13">
      <c r="E578" s="13" t="e">
        <v>#N/A</v>
      </c>
      <c r="F578" s="13" t="e">
        <v>#N/A</v>
      </c>
      <c r="G578" s="14" t="e">
        <v>#N/A</v>
      </c>
      <c r="H578" s="14" t="e">
        <v>#N/A</v>
      </c>
      <c r="J578" s="13" t="e">
        <v>#N/A</v>
      </c>
      <c r="K578" s="13" t="e">
        <v>#N/A</v>
      </c>
      <c r="L578" s="14" t="e">
        <v>#N/A</v>
      </c>
      <c r="M578" s="14" t="e">
        <v>#N/A</v>
      </c>
    </row>
    <row r="579" spans="5:13">
      <c r="E579" s="13" t="e">
        <v>#N/A</v>
      </c>
      <c r="F579" s="13" t="e">
        <v>#N/A</v>
      </c>
      <c r="G579" s="14" t="e">
        <v>#N/A</v>
      </c>
      <c r="H579" s="14" t="e">
        <v>#N/A</v>
      </c>
      <c r="J579" s="13" t="e">
        <v>#N/A</v>
      </c>
      <c r="K579" s="13" t="e">
        <v>#N/A</v>
      </c>
      <c r="L579" s="14" t="e">
        <v>#N/A</v>
      </c>
      <c r="M579" s="14" t="e">
        <v>#N/A</v>
      </c>
    </row>
    <row r="580" spans="5:13">
      <c r="E580" s="13" t="e">
        <v>#N/A</v>
      </c>
      <c r="F580" s="13" t="e">
        <v>#N/A</v>
      </c>
      <c r="G580" s="14" t="e">
        <v>#N/A</v>
      </c>
      <c r="H580" s="14" t="e">
        <v>#N/A</v>
      </c>
      <c r="J580" s="13" t="e">
        <v>#N/A</v>
      </c>
      <c r="K580" s="13" t="e">
        <v>#N/A</v>
      </c>
      <c r="L580" s="14" t="e">
        <v>#N/A</v>
      </c>
      <c r="M580" s="14" t="e">
        <v>#N/A</v>
      </c>
    </row>
    <row r="581" spans="5:13">
      <c r="E581" s="13" t="e">
        <v>#N/A</v>
      </c>
      <c r="F581" s="13" t="e">
        <v>#N/A</v>
      </c>
      <c r="G581" s="14" t="e">
        <v>#N/A</v>
      </c>
      <c r="H581" s="14" t="e">
        <v>#N/A</v>
      </c>
      <c r="J581" s="13" t="e">
        <v>#N/A</v>
      </c>
      <c r="K581" s="13" t="e">
        <v>#N/A</v>
      </c>
      <c r="L581" s="14" t="e">
        <v>#N/A</v>
      </c>
      <c r="M581" s="14" t="e">
        <v>#N/A</v>
      </c>
    </row>
    <row r="582" spans="5:13">
      <c r="E582" s="13" t="e">
        <v>#N/A</v>
      </c>
      <c r="F582" s="13" t="e">
        <v>#N/A</v>
      </c>
      <c r="G582" s="14" t="e">
        <v>#N/A</v>
      </c>
      <c r="H582" s="14" t="e">
        <v>#N/A</v>
      </c>
      <c r="J582" s="13" t="e">
        <v>#N/A</v>
      </c>
      <c r="K582" s="13" t="e">
        <v>#N/A</v>
      </c>
      <c r="L582" s="14" t="e">
        <v>#N/A</v>
      </c>
      <c r="M582" s="14" t="e">
        <v>#N/A</v>
      </c>
    </row>
    <row r="583" spans="5:13">
      <c r="E583" s="13" t="e">
        <v>#N/A</v>
      </c>
      <c r="F583" s="13" t="e">
        <v>#N/A</v>
      </c>
      <c r="G583" s="14" t="e">
        <v>#N/A</v>
      </c>
      <c r="H583" s="14" t="e">
        <v>#N/A</v>
      </c>
      <c r="J583" s="13" t="e">
        <v>#N/A</v>
      </c>
      <c r="K583" s="13" t="e">
        <v>#N/A</v>
      </c>
      <c r="L583" s="14" t="e">
        <v>#N/A</v>
      </c>
      <c r="M583" s="14" t="e">
        <v>#N/A</v>
      </c>
    </row>
    <row r="584" spans="5:13">
      <c r="E584" s="13" t="e">
        <v>#N/A</v>
      </c>
      <c r="F584" s="13" t="e">
        <v>#N/A</v>
      </c>
      <c r="G584" s="14" t="e">
        <v>#N/A</v>
      </c>
      <c r="H584" s="14" t="e">
        <v>#N/A</v>
      </c>
      <c r="J584" s="13" t="e">
        <v>#N/A</v>
      </c>
      <c r="K584" s="13" t="e">
        <v>#N/A</v>
      </c>
      <c r="L584" s="14" t="e">
        <v>#N/A</v>
      </c>
      <c r="M584" s="14" t="e">
        <v>#N/A</v>
      </c>
    </row>
    <row r="585" spans="5:13">
      <c r="E585" s="13" t="e">
        <v>#N/A</v>
      </c>
      <c r="F585" s="13" t="e">
        <v>#N/A</v>
      </c>
      <c r="G585" s="14" t="e">
        <v>#N/A</v>
      </c>
      <c r="H585" s="14" t="e">
        <v>#N/A</v>
      </c>
      <c r="J585" s="13" t="e">
        <v>#N/A</v>
      </c>
      <c r="K585" s="13" t="e">
        <v>#N/A</v>
      </c>
      <c r="L585" s="14" t="e">
        <v>#N/A</v>
      </c>
      <c r="M585" s="14" t="e">
        <v>#N/A</v>
      </c>
    </row>
    <row r="586" spans="5:13">
      <c r="E586" s="13" t="e">
        <v>#N/A</v>
      </c>
      <c r="F586" s="13" t="e">
        <v>#N/A</v>
      </c>
      <c r="G586" s="14" t="e">
        <v>#N/A</v>
      </c>
      <c r="H586" s="14" t="e">
        <v>#N/A</v>
      </c>
      <c r="J586" s="13" t="e">
        <v>#N/A</v>
      </c>
      <c r="K586" s="13" t="e">
        <v>#N/A</v>
      </c>
      <c r="L586" s="14" t="e">
        <v>#N/A</v>
      </c>
      <c r="M586" s="14" t="e">
        <v>#N/A</v>
      </c>
    </row>
    <row r="587" spans="5:13">
      <c r="E587" s="13" t="e">
        <v>#N/A</v>
      </c>
      <c r="F587" s="13" t="e">
        <v>#N/A</v>
      </c>
      <c r="G587" s="14" t="e">
        <v>#N/A</v>
      </c>
      <c r="H587" s="14" t="e">
        <v>#N/A</v>
      </c>
      <c r="J587" s="13" t="e">
        <v>#N/A</v>
      </c>
      <c r="K587" s="13" t="e">
        <v>#N/A</v>
      </c>
      <c r="L587" s="14" t="e">
        <v>#N/A</v>
      </c>
      <c r="M587" s="14" t="e">
        <v>#N/A</v>
      </c>
    </row>
    <row r="588" spans="5:13">
      <c r="E588" s="13" t="e">
        <v>#N/A</v>
      </c>
      <c r="F588" s="13" t="e">
        <v>#N/A</v>
      </c>
      <c r="G588" s="14" t="e">
        <v>#N/A</v>
      </c>
      <c r="H588" s="14" t="e">
        <v>#N/A</v>
      </c>
      <c r="J588" s="13" t="e">
        <v>#N/A</v>
      </c>
      <c r="K588" s="13" t="e">
        <v>#N/A</v>
      </c>
      <c r="L588" s="14" t="e">
        <v>#N/A</v>
      </c>
      <c r="M588" s="14" t="e">
        <v>#N/A</v>
      </c>
    </row>
    <row r="589" spans="5:13">
      <c r="E589" s="13" t="e">
        <v>#N/A</v>
      </c>
      <c r="F589" s="13" t="e">
        <v>#N/A</v>
      </c>
      <c r="G589" s="14" t="e">
        <v>#N/A</v>
      </c>
      <c r="H589" s="14" t="e">
        <v>#N/A</v>
      </c>
      <c r="J589" s="13" t="e">
        <v>#N/A</v>
      </c>
      <c r="K589" s="13" t="e">
        <v>#N/A</v>
      </c>
      <c r="L589" s="14" t="e">
        <v>#N/A</v>
      </c>
      <c r="M589" s="14" t="e">
        <v>#N/A</v>
      </c>
    </row>
    <row r="590" spans="5:13">
      <c r="E590" s="13" t="e">
        <v>#N/A</v>
      </c>
      <c r="F590" s="13" t="e">
        <v>#N/A</v>
      </c>
      <c r="G590" s="14" t="e">
        <v>#N/A</v>
      </c>
      <c r="H590" s="14" t="e">
        <v>#N/A</v>
      </c>
      <c r="J590" s="13" t="e">
        <v>#N/A</v>
      </c>
      <c r="K590" s="13" t="e">
        <v>#N/A</v>
      </c>
      <c r="L590" s="14" t="e">
        <v>#N/A</v>
      </c>
      <c r="M590" s="14" t="e">
        <v>#N/A</v>
      </c>
    </row>
    <row r="591" spans="5:13">
      <c r="E591" s="13" t="e">
        <v>#N/A</v>
      </c>
      <c r="F591" s="13" t="e">
        <v>#N/A</v>
      </c>
      <c r="G591" s="14" t="e">
        <v>#N/A</v>
      </c>
      <c r="H591" s="14" t="e">
        <v>#N/A</v>
      </c>
      <c r="J591" s="13" t="e">
        <v>#N/A</v>
      </c>
      <c r="K591" s="13" t="e">
        <v>#N/A</v>
      </c>
      <c r="L591" s="14" t="e">
        <v>#N/A</v>
      </c>
      <c r="M591" s="14" t="e">
        <v>#N/A</v>
      </c>
    </row>
    <row r="592" spans="5:13">
      <c r="E592" s="13" t="e">
        <v>#N/A</v>
      </c>
      <c r="F592" s="13" t="e">
        <v>#N/A</v>
      </c>
      <c r="G592" s="14" t="e">
        <v>#N/A</v>
      </c>
      <c r="H592" s="14" t="e">
        <v>#N/A</v>
      </c>
      <c r="J592" s="13" t="e">
        <v>#N/A</v>
      </c>
      <c r="K592" s="13" t="e">
        <v>#N/A</v>
      </c>
      <c r="L592" s="14" t="e">
        <v>#N/A</v>
      </c>
      <c r="M592" s="14" t="e">
        <v>#N/A</v>
      </c>
    </row>
    <row r="593" spans="5:13">
      <c r="E593" s="13" t="e">
        <v>#N/A</v>
      </c>
      <c r="F593" s="13" t="e">
        <v>#N/A</v>
      </c>
      <c r="G593" s="14" t="e">
        <v>#N/A</v>
      </c>
      <c r="H593" s="14" t="e">
        <v>#N/A</v>
      </c>
      <c r="J593" s="13" t="e">
        <v>#N/A</v>
      </c>
      <c r="K593" s="13" t="e">
        <v>#N/A</v>
      </c>
      <c r="L593" s="14" t="e">
        <v>#N/A</v>
      </c>
      <c r="M593" s="14" t="e">
        <v>#N/A</v>
      </c>
    </row>
    <row r="594" spans="5:13">
      <c r="E594" s="13" t="e">
        <v>#N/A</v>
      </c>
      <c r="F594" s="13" t="e">
        <v>#N/A</v>
      </c>
      <c r="G594" s="14" t="e">
        <v>#N/A</v>
      </c>
      <c r="H594" s="14" t="e">
        <v>#N/A</v>
      </c>
      <c r="J594" s="13" t="e">
        <v>#N/A</v>
      </c>
      <c r="K594" s="13" t="e">
        <v>#N/A</v>
      </c>
      <c r="L594" s="14" t="e">
        <v>#N/A</v>
      </c>
      <c r="M594" s="14" t="e">
        <v>#N/A</v>
      </c>
    </row>
    <row r="595" spans="5:13">
      <c r="E595" s="13" t="e">
        <v>#N/A</v>
      </c>
      <c r="F595" s="13" t="e">
        <v>#N/A</v>
      </c>
      <c r="G595" s="14" t="e">
        <v>#N/A</v>
      </c>
      <c r="H595" s="14" t="e">
        <v>#N/A</v>
      </c>
      <c r="J595" s="13" t="e">
        <v>#N/A</v>
      </c>
      <c r="K595" s="13" t="e">
        <v>#N/A</v>
      </c>
      <c r="L595" s="14" t="e">
        <v>#N/A</v>
      </c>
      <c r="M595" s="14" t="e">
        <v>#N/A</v>
      </c>
    </row>
    <row r="596" spans="5:13">
      <c r="E596" s="13" t="e">
        <v>#N/A</v>
      </c>
      <c r="F596" s="13" t="e">
        <v>#N/A</v>
      </c>
      <c r="G596" s="14" t="e">
        <v>#N/A</v>
      </c>
      <c r="H596" s="14" t="e">
        <v>#N/A</v>
      </c>
      <c r="J596" s="13" t="e">
        <v>#N/A</v>
      </c>
      <c r="K596" s="13" t="e">
        <v>#N/A</v>
      </c>
      <c r="L596" s="14" t="e">
        <v>#N/A</v>
      </c>
      <c r="M596" s="14" t="e">
        <v>#N/A</v>
      </c>
    </row>
    <row r="597" spans="5:13">
      <c r="E597" s="13" t="e">
        <v>#N/A</v>
      </c>
      <c r="F597" s="13" t="e">
        <v>#N/A</v>
      </c>
      <c r="G597" s="14" t="e">
        <v>#N/A</v>
      </c>
      <c r="H597" s="14" t="e">
        <v>#N/A</v>
      </c>
      <c r="J597" s="13" t="e">
        <v>#N/A</v>
      </c>
      <c r="K597" s="13" t="e">
        <v>#N/A</v>
      </c>
      <c r="L597" s="14" t="e">
        <v>#N/A</v>
      </c>
      <c r="M597" s="14" t="e">
        <v>#N/A</v>
      </c>
    </row>
    <row r="598" spans="5:13">
      <c r="E598" s="13" t="e">
        <v>#N/A</v>
      </c>
      <c r="F598" s="13" t="e">
        <v>#N/A</v>
      </c>
      <c r="G598" s="14" t="e">
        <v>#N/A</v>
      </c>
      <c r="H598" s="14" t="e">
        <v>#N/A</v>
      </c>
      <c r="J598" s="13" t="e">
        <v>#N/A</v>
      </c>
      <c r="K598" s="13" t="e">
        <v>#N/A</v>
      </c>
      <c r="L598" s="14" t="e">
        <v>#N/A</v>
      </c>
      <c r="M598" s="14" t="e">
        <v>#N/A</v>
      </c>
    </row>
    <row r="599" spans="5:13">
      <c r="E599" s="13" t="e">
        <v>#N/A</v>
      </c>
      <c r="F599" s="13" t="e">
        <v>#N/A</v>
      </c>
      <c r="G599" s="14" t="e">
        <v>#N/A</v>
      </c>
      <c r="H599" s="14" t="e">
        <v>#N/A</v>
      </c>
      <c r="J599" s="13" t="e">
        <v>#N/A</v>
      </c>
      <c r="K599" s="13" t="e">
        <v>#N/A</v>
      </c>
      <c r="L599" s="14" t="e">
        <v>#N/A</v>
      </c>
      <c r="M599" s="14" t="e">
        <v>#N/A</v>
      </c>
    </row>
    <row r="600" spans="5:13">
      <c r="E600" s="13" t="e">
        <v>#N/A</v>
      </c>
      <c r="F600" s="13" t="e">
        <v>#N/A</v>
      </c>
      <c r="G600" s="14" t="e">
        <v>#N/A</v>
      </c>
      <c r="H600" s="14" t="e">
        <v>#N/A</v>
      </c>
      <c r="J600" s="13" t="e">
        <v>#N/A</v>
      </c>
      <c r="K600" s="13" t="e">
        <v>#N/A</v>
      </c>
      <c r="L600" s="14" t="e">
        <v>#N/A</v>
      </c>
      <c r="M600" s="14" t="e">
        <v>#N/A</v>
      </c>
    </row>
    <row r="601" spans="5:13">
      <c r="E601" s="13" t="e">
        <v>#N/A</v>
      </c>
      <c r="F601" s="13" t="e">
        <v>#N/A</v>
      </c>
      <c r="G601" s="14" t="e">
        <v>#N/A</v>
      </c>
      <c r="H601" s="14" t="e">
        <v>#N/A</v>
      </c>
      <c r="J601" s="13" t="e">
        <v>#N/A</v>
      </c>
      <c r="K601" s="13" t="e">
        <v>#N/A</v>
      </c>
      <c r="L601" s="14" t="e">
        <v>#N/A</v>
      </c>
      <c r="M601" s="14" t="e">
        <v>#N/A</v>
      </c>
    </row>
    <row r="602" spans="5:13">
      <c r="E602" s="13" t="e">
        <v>#N/A</v>
      </c>
      <c r="F602" s="13" t="e">
        <v>#N/A</v>
      </c>
      <c r="G602" s="14" t="e">
        <v>#N/A</v>
      </c>
      <c r="H602" s="14" t="e">
        <v>#N/A</v>
      </c>
      <c r="J602" s="13" t="e">
        <v>#N/A</v>
      </c>
      <c r="K602" s="13" t="e">
        <v>#N/A</v>
      </c>
      <c r="L602" s="14" t="e">
        <v>#N/A</v>
      </c>
      <c r="M602" s="14" t="e">
        <v>#N/A</v>
      </c>
    </row>
    <row r="603" spans="5:13">
      <c r="E603" s="13" t="e">
        <v>#N/A</v>
      </c>
      <c r="F603" s="13" t="e">
        <v>#N/A</v>
      </c>
      <c r="G603" s="14" t="e">
        <v>#N/A</v>
      </c>
      <c r="H603" s="14" t="e">
        <v>#N/A</v>
      </c>
      <c r="J603" s="13" t="e">
        <v>#N/A</v>
      </c>
      <c r="K603" s="13" t="e">
        <v>#N/A</v>
      </c>
      <c r="L603" s="14" t="e">
        <v>#N/A</v>
      </c>
      <c r="M603" s="14" t="e">
        <v>#N/A</v>
      </c>
    </row>
    <row r="604" spans="5:13">
      <c r="E604" s="13" t="e">
        <v>#N/A</v>
      </c>
      <c r="F604" s="13" t="e">
        <v>#N/A</v>
      </c>
      <c r="G604" s="14" t="e">
        <v>#N/A</v>
      </c>
      <c r="H604" s="14" t="e">
        <v>#N/A</v>
      </c>
      <c r="J604" s="13" t="e">
        <v>#N/A</v>
      </c>
      <c r="K604" s="13" t="e">
        <v>#N/A</v>
      </c>
      <c r="L604" s="14" t="e">
        <v>#N/A</v>
      </c>
      <c r="M604" s="14" t="e">
        <v>#N/A</v>
      </c>
    </row>
    <row r="605" spans="5:13">
      <c r="E605" s="13" t="e">
        <v>#N/A</v>
      </c>
      <c r="F605" s="13" t="e">
        <v>#N/A</v>
      </c>
      <c r="G605" s="14" t="e">
        <v>#N/A</v>
      </c>
      <c r="H605" s="14" t="e">
        <v>#N/A</v>
      </c>
      <c r="J605" s="13" t="e">
        <v>#N/A</v>
      </c>
      <c r="K605" s="13" t="e">
        <v>#N/A</v>
      </c>
      <c r="L605" s="14" t="e">
        <v>#N/A</v>
      </c>
      <c r="M605" s="14" t="e">
        <v>#N/A</v>
      </c>
    </row>
    <row r="606" spans="5:13">
      <c r="E606" s="13" t="e">
        <v>#N/A</v>
      </c>
      <c r="F606" s="13" t="e">
        <v>#N/A</v>
      </c>
      <c r="G606" s="14" t="e">
        <v>#N/A</v>
      </c>
      <c r="H606" s="14" t="e">
        <v>#N/A</v>
      </c>
      <c r="J606" s="13" t="e">
        <v>#N/A</v>
      </c>
      <c r="K606" s="13" t="e">
        <v>#N/A</v>
      </c>
      <c r="L606" s="14" t="e">
        <v>#N/A</v>
      </c>
      <c r="M606" s="14" t="e">
        <v>#N/A</v>
      </c>
    </row>
    <row r="607" spans="5:13">
      <c r="E607" s="13" t="e">
        <v>#N/A</v>
      </c>
      <c r="F607" s="13" t="e">
        <v>#N/A</v>
      </c>
      <c r="G607" s="14" t="e">
        <v>#N/A</v>
      </c>
      <c r="H607" s="14" t="e">
        <v>#N/A</v>
      </c>
      <c r="J607" s="13" t="e">
        <v>#N/A</v>
      </c>
      <c r="K607" s="13" t="e">
        <v>#N/A</v>
      </c>
      <c r="L607" s="14" t="e">
        <v>#N/A</v>
      </c>
      <c r="M607" s="14" t="e">
        <v>#N/A</v>
      </c>
    </row>
    <row r="608" spans="5:13">
      <c r="E608" s="13" t="e">
        <v>#N/A</v>
      </c>
      <c r="F608" s="13" t="e">
        <v>#N/A</v>
      </c>
      <c r="G608" s="14" t="e">
        <v>#N/A</v>
      </c>
      <c r="H608" s="14" t="e">
        <v>#N/A</v>
      </c>
      <c r="J608" s="13" t="e">
        <v>#N/A</v>
      </c>
      <c r="K608" s="13" t="e">
        <v>#N/A</v>
      </c>
      <c r="L608" s="14" t="e">
        <v>#N/A</v>
      </c>
      <c r="M608" s="14" t="e">
        <v>#N/A</v>
      </c>
    </row>
    <row r="609" spans="5:13">
      <c r="E609" s="13" t="e">
        <v>#N/A</v>
      </c>
      <c r="F609" s="13" t="e">
        <v>#N/A</v>
      </c>
      <c r="G609" s="14" t="e">
        <v>#N/A</v>
      </c>
      <c r="H609" s="14" t="e">
        <v>#N/A</v>
      </c>
      <c r="J609" s="13" t="e">
        <v>#N/A</v>
      </c>
      <c r="K609" s="13" t="e">
        <v>#N/A</v>
      </c>
      <c r="L609" s="14" t="e">
        <v>#N/A</v>
      </c>
      <c r="M609" s="14" t="e">
        <v>#N/A</v>
      </c>
    </row>
    <row r="610" spans="5:13">
      <c r="E610" s="13" t="e">
        <v>#N/A</v>
      </c>
      <c r="F610" s="13" t="e">
        <v>#N/A</v>
      </c>
      <c r="G610" s="14" t="e">
        <v>#N/A</v>
      </c>
      <c r="H610" s="14" t="e">
        <v>#N/A</v>
      </c>
      <c r="J610" s="13" t="e">
        <v>#N/A</v>
      </c>
      <c r="K610" s="13" t="e">
        <v>#N/A</v>
      </c>
      <c r="L610" s="14" t="e">
        <v>#N/A</v>
      </c>
      <c r="M610" s="14" t="e">
        <v>#N/A</v>
      </c>
    </row>
    <row r="611" spans="5:13">
      <c r="E611" s="13" t="e">
        <v>#N/A</v>
      </c>
      <c r="F611" s="13" t="e">
        <v>#N/A</v>
      </c>
      <c r="G611" s="14" t="e">
        <v>#N/A</v>
      </c>
      <c r="H611" s="14" t="e">
        <v>#N/A</v>
      </c>
      <c r="J611" s="13" t="e">
        <v>#N/A</v>
      </c>
      <c r="K611" s="13" t="e">
        <v>#N/A</v>
      </c>
      <c r="L611" s="14" t="e">
        <v>#N/A</v>
      </c>
      <c r="M611" s="14" t="e">
        <v>#N/A</v>
      </c>
    </row>
    <row r="612" spans="5:13">
      <c r="E612" s="13" t="e">
        <v>#N/A</v>
      </c>
      <c r="F612" s="13" t="e">
        <v>#N/A</v>
      </c>
      <c r="G612" s="14" t="e">
        <v>#N/A</v>
      </c>
      <c r="H612" s="14" t="e">
        <v>#N/A</v>
      </c>
      <c r="J612" s="13" t="e">
        <v>#N/A</v>
      </c>
      <c r="K612" s="13" t="e">
        <v>#N/A</v>
      </c>
      <c r="L612" s="14" t="e">
        <v>#N/A</v>
      </c>
      <c r="M612" s="14" t="e">
        <v>#N/A</v>
      </c>
    </row>
    <row r="613" spans="5:13">
      <c r="E613" s="13" t="e">
        <v>#N/A</v>
      </c>
      <c r="F613" s="13" t="e">
        <v>#N/A</v>
      </c>
      <c r="G613" s="14" t="e">
        <v>#N/A</v>
      </c>
      <c r="H613" s="14" t="e">
        <v>#N/A</v>
      </c>
      <c r="J613" s="13" t="e">
        <v>#N/A</v>
      </c>
      <c r="K613" s="13" t="e">
        <v>#N/A</v>
      </c>
      <c r="L613" s="14" t="e">
        <v>#N/A</v>
      </c>
      <c r="M613" s="14" t="e">
        <v>#N/A</v>
      </c>
    </row>
    <row r="614" spans="5:13">
      <c r="E614" s="13" t="e">
        <v>#N/A</v>
      </c>
      <c r="F614" s="13" t="e">
        <v>#N/A</v>
      </c>
      <c r="G614" s="14" t="e">
        <v>#N/A</v>
      </c>
      <c r="H614" s="14" t="e">
        <v>#N/A</v>
      </c>
      <c r="J614" s="13" t="e">
        <v>#N/A</v>
      </c>
      <c r="K614" s="13" t="e">
        <v>#N/A</v>
      </c>
      <c r="L614" s="14" t="e">
        <v>#N/A</v>
      </c>
      <c r="M614" s="14" t="e">
        <v>#N/A</v>
      </c>
    </row>
    <row r="615" spans="5:13">
      <c r="E615" s="13" t="e">
        <v>#N/A</v>
      </c>
      <c r="F615" s="13" t="e">
        <v>#N/A</v>
      </c>
      <c r="G615" s="14" t="e">
        <v>#N/A</v>
      </c>
      <c r="H615" s="14" t="e">
        <v>#N/A</v>
      </c>
      <c r="J615" s="13" t="e">
        <v>#N/A</v>
      </c>
      <c r="K615" s="13" t="e">
        <v>#N/A</v>
      </c>
      <c r="L615" s="14" t="e">
        <v>#N/A</v>
      </c>
      <c r="M615" s="14" t="e">
        <v>#N/A</v>
      </c>
    </row>
    <row r="616" spans="5:13">
      <c r="E616" s="13" t="e">
        <v>#N/A</v>
      </c>
      <c r="F616" s="13" t="e">
        <v>#N/A</v>
      </c>
      <c r="G616" s="14" t="e">
        <v>#N/A</v>
      </c>
      <c r="H616" s="14" t="e">
        <v>#N/A</v>
      </c>
      <c r="J616" s="13" t="e">
        <v>#N/A</v>
      </c>
      <c r="K616" s="13" t="e">
        <v>#N/A</v>
      </c>
      <c r="L616" s="14" t="e">
        <v>#N/A</v>
      </c>
      <c r="M616" s="14" t="e">
        <v>#N/A</v>
      </c>
    </row>
    <row r="617" spans="5:13">
      <c r="E617" s="13" t="e">
        <v>#N/A</v>
      </c>
      <c r="F617" s="13" t="e">
        <v>#N/A</v>
      </c>
      <c r="G617" s="14" t="e">
        <v>#N/A</v>
      </c>
      <c r="H617" s="14" t="e">
        <v>#N/A</v>
      </c>
      <c r="J617" s="13" t="e">
        <v>#N/A</v>
      </c>
      <c r="K617" s="13" t="e">
        <v>#N/A</v>
      </c>
      <c r="L617" s="14" t="e">
        <v>#N/A</v>
      </c>
      <c r="M617" s="14" t="e">
        <v>#N/A</v>
      </c>
    </row>
    <row r="618" spans="5:13">
      <c r="E618" s="13" t="e">
        <v>#N/A</v>
      </c>
      <c r="F618" s="13" t="e">
        <v>#N/A</v>
      </c>
      <c r="G618" s="14" t="e">
        <v>#N/A</v>
      </c>
      <c r="H618" s="14" t="e">
        <v>#N/A</v>
      </c>
      <c r="J618" s="13" t="e">
        <v>#N/A</v>
      </c>
      <c r="K618" s="13" t="e">
        <v>#N/A</v>
      </c>
      <c r="L618" s="14" t="e">
        <v>#N/A</v>
      </c>
      <c r="M618" s="14" t="e">
        <v>#N/A</v>
      </c>
    </row>
    <row r="619" spans="5:13">
      <c r="E619" s="13" t="e">
        <v>#N/A</v>
      </c>
      <c r="F619" s="13" t="e">
        <v>#N/A</v>
      </c>
      <c r="G619" s="14" t="e">
        <v>#N/A</v>
      </c>
      <c r="H619" s="14" t="e">
        <v>#N/A</v>
      </c>
      <c r="J619" s="13" t="e">
        <v>#N/A</v>
      </c>
      <c r="K619" s="13" t="e">
        <v>#N/A</v>
      </c>
      <c r="L619" s="14" t="e">
        <v>#N/A</v>
      </c>
      <c r="M619" s="14" t="e">
        <v>#N/A</v>
      </c>
    </row>
    <row r="620" spans="5:13">
      <c r="E620" s="13" t="e">
        <v>#N/A</v>
      </c>
      <c r="F620" s="13" t="e">
        <v>#N/A</v>
      </c>
      <c r="G620" s="14" t="e">
        <v>#N/A</v>
      </c>
      <c r="H620" s="14" t="e">
        <v>#N/A</v>
      </c>
      <c r="J620" s="13" t="e">
        <v>#N/A</v>
      </c>
      <c r="K620" s="13" t="e">
        <v>#N/A</v>
      </c>
      <c r="L620" s="14" t="e">
        <v>#N/A</v>
      </c>
      <c r="M620" s="14" t="e">
        <v>#N/A</v>
      </c>
    </row>
    <row r="621" spans="5:13">
      <c r="E621" s="13" t="e">
        <v>#N/A</v>
      </c>
      <c r="F621" s="13" t="e">
        <v>#N/A</v>
      </c>
      <c r="G621" s="14" t="e">
        <v>#N/A</v>
      </c>
      <c r="H621" s="14" t="e">
        <v>#N/A</v>
      </c>
      <c r="J621" s="13" t="e">
        <v>#N/A</v>
      </c>
      <c r="K621" s="13" t="e">
        <v>#N/A</v>
      </c>
      <c r="L621" s="14" t="e">
        <v>#N/A</v>
      </c>
      <c r="M621" s="14" t="e">
        <v>#N/A</v>
      </c>
    </row>
    <row r="622" spans="5:13">
      <c r="E622" s="13" t="e">
        <v>#N/A</v>
      </c>
      <c r="F622" s="13" t="e">
        <v>#N/A</v>
      </c>
      <c r="G622" s="14" t="e">
        <v>#N/A</v>
      </c>
      <c r="H622" s="14" t="e">
        <v>#N/A</v>
      </c>
      <c r="J622" s="13" t="e">
        <v>#N/A</v>
      </c>
      <c r="K622" s="13" t="e">
        <v>#N/A</v>
      </c>
      <c r="L622" s="14" t="e">
        <v>#N/A</v>
      </c>
      <c r="M622" s="14" t="e">
        <v>#N/A</v>
      </c>
    </row>
    <row r="623" spans="5:13">
      <c r="E623" s="13" t="e">
        <v>#N/A</v>
      </c>
      <c r="F623" s="13" t="e">
        <v>#N/A</v>
      </c>
      <c r="G623" s="14" t="e">
        <v>#N/A</v>
      </c>
      <c r="H623" s="14" t="e">
        <v>#N/A</v>
      </c>
      <c r="J623" s="13" t="e">
        <v>#N/A</v>
      </c>
      <c r="K623" s="13" t="e">
        <v>#N/A</v>
      </c>
      <c r="L623" s="14" t="e">
        <v>#N/A</v>
      </c>
      <c r="M623" s="14" t="e">
        <v>#N/A</v>
      </c>
    </row>
    <row r="624" spans="5:13">
      <c r="E624" s="13" t="e">
        <v>#N/A</v>
      </c>
      <c r="F624" s="13" t="e">
        <v>#N/A</v>
      </c>
      <c r="G624" s="14" t="e">
        <v>#N/A</v>
      </c>
      <c r="H624" s="14" t="e">
        <v>#N/A</v>
      </c>
      <c r="J624" s="13" t="e">
        <v>#N/A</v>
      </c>
      <c r="K624" s="13" t="e">
        <v>#N/A</v>
      </c>
      <c r="L624" s="14" t="e">
        <v>#N/A</v>
      </c>
      <c r="M624" s="14" t="e">
        <v>#N/A</v>
      </c>
    </row>
    <row r="625" spans="5:13">
      <c r="E625" s="13" t="e">
        <v>#N/A</v>
      </c>
      <c r="F625" s="13" t="e">
        <v>#N/A</v>
      </c>
      <c r="G625" s="14" t="e">
        <v>#N/A</v>
      </c>
      <c r="H625" s="14" t="e">
        <v>#N/A</v>
      </c>
      <c r="J625" s="13" t="e">
        <v>#N/A</v>
      </c>
      <c r="K625" s="13" t="e">
        <v>#N/A</v>
      </c>
      <c r="L625" s="14" t="e">
        <v>#N/A</v>
      </c>
      <c r="M625" s="14" t="e">
        <v>#N/A</v>
      </c>
    </row>
    <row r="626" spans="5:13">
      <c r="E626" s="13" t="e">
        <v>#N/A</v>
      </c>
      <c r="F626" s="13" t="e">
        <v>#N/A</v>
      </c>
      <c r="G626" s="14" t="e">
        <v>#N/A</v>
      </c>
      <c r="H626" s="14" t="e">
        <v>#N/A</v>
      </c>
      <c r="J626" s="13" t="e">
        <v>#N/A</v>
      </c>
      <c r="K626" s="13" t="e">
        <v>#N/A</v>
      </c>
      <c r="L626" s="14" t="e">
        <v>#N/A</v>
      </c>
      <c r="M626" s="14" t="e">
        <v>#N/A</v>
      </c>
    </row>
    <row r="627" spans="5:13">
      <c r="E627" s="13" t="e">
        <v>#N/A</v>
      </c>
      <c r="F627" s="13" t="e">
        <v>#N/A</v>
      </c>
      <c r="G627" s="14" t="e">
        <v>#N/A</v>
      </c>
      <c r="H627" s="14" t="e">
        <v>#N/A</v>
      </c>
      <c r="J627" s="13" t="e">
        <v>#N/A</v>
      </c>
      <c r="K627" s="13" t="e">
        <v>#N/A</v>
      </c>
      <c r="L627" s="14" t="e">
        <v>#N/A</v>
      </c>
      <c r="M627" s="14" t="e">
        <v>#N/A</v>
      </c>
    </row>
    <row r="628" spans="5:13">
      <c r="E628" s="13" t="e">
        <v>#N/A</v>
      </c>
      <c r="F628" s="13" t="e">
        <v>#N/A</v>
      </c>
      <c r="G628" s="14" t="e">
        <v>#N/A</v>
      </c>
      <c r="H628" s="14" t="e">
        <v>#N/A</v>
      </c>
      <c r="J628" s="13" t="e">
        <v>#N/A</v>
      </c>
      <c r="K628" s="13" t="e">
        <v>#N/A</v>
      </c>
      <c r="L628" s="14" t="e">
        <v>#N/A</v>
      </c>
      <c r="M628" s="14" t="e">
        <v>#N/A</v>
      </c>
    </row>
    <row r="629" spans="5:13">
      <c r="E629" s="13" t="e">
        <v>#N/A</v>
      </c>
      <c r="F629" s="13" t="e">
        <v>#N/A</v>
      </c>
      <c r="G629" s="14" t="e">
        <v>#N/A</v>
      </c>
      <c r="H629" s="14" t="e">
        <v>#N/A</v>
      </c>
      <c r="J629" s="13" t="e">
        <v>#N/A</v>
      </c>
      <c r="K629" s="13" t="e">
        <v>#N/A</v>
      </c>
      <c r="L629" s="14" t="e">
        <v>#N/A</v>
      </c>
      <c r="M629" s="14" t="e">
        <v>#N/A</v>
      </c>
    </row>
    <row r="630" spans="5:13">
      <c r="E630" s="13" t="e">
        <v>#N/A</v>
      </c>
      <c r="F630" s="13" t="e">
        <v>#N/A</v>
      </c>
      <c r="G630" s="14" t="e">
        <v>#N/A</v>
      </c>
      <c r="H630" s="14" t="e">
        <v>#N/A</v>
      </c>
      <c r="J630" s="13" t="e">
        <v>#N/A</v>
      </c>
      <c r="K630" s="13" t="e">
        <v>#N/A</v>
      </c>
      <c r="L630" s="14" t="e">
        <v>#N/A</v>
      </c>
      <c r="M630" s="14" t="e">
        <v>#N/A</v>
      </c>
    </row>
    <row r="631" spans="5:13">
      <c r="E631" s="13" t="e">
        <v>#N/A</v>
      </c>
      <c r="F631" s="13" t="e">
        <v>#N/A</v>
      </c>
      <c r="G631" s="14" t="e">
        <v>#N/A</v>
      </c>
      <c r="H631" s="14" t="e">
        <v>#N/A</v>
      </c>
      <c r="J631" s="13" t="e">
        <v>#N/A</v>
      </c>
      <c r="K631" s="13" t="e">
        <v>#N/A</v>
      </c>
      <c r="L631" s="14" t="e">
        <v>#N/A</v>
      </c>
      <c r="M631" s="14" t="e">
        <v>#N/A</v>
      </c>
    </row>
    <row r="632" spans="5:13">
      <c r="E632" s="13" t="e">
        <v>#N/A</v>
      </c>
      <c r="F632" s="13" t="e">
        <v>#N/A</v>
      </c>
      <c r="G632" s="14" t="e">
        <v>#N/A</v>
      </c>
      <c r="H632" s="14" t="e">
        <v>#N/A</v>
      </c>
      <c r="J632" s="13" t="e">
        <v>#N/A</v>
      </c>
      <c r="K632" s="13" t="e">
        <v>#N/A</v>
      </c>
      <c r="L632" s="14" t="e">
        <v>#N/A</v>
      </c>
      <c r="M632" s="14" t="e">
        <v>#N/A</v>
      </c>
    </row>
    <row r="633" spans="5:13">
      <c r="E633" s="13" t="e">
        <v>#N/A</v>
      </c>
      <c r="F633" s="13" t="e">
        <v>#N/A</v>
      </c>
      <c r="G633" s="14" t="e">
        <v>#N/A</v>
      </c>
      <c r="H633" s="14" t="e">
        <v>#N/A</v>
      </c>
      <c r="J633" s="13" t="e">
        <v>#N/A</v>
      </c>
      <c r="K633" s="13" t="e">
        <v>#N/A</v>
      </c>
      <c r="L633" s="14" t="e">
        <v>#N/A</v>
      </c>
      <c r="M633" s="14" t="e">
        <v>#N/A</v>
      </c>
    </row>
    <row r="634" spans="5:13">
      <c r="E634" s="13" t="e">
        <v>#N/A</v>
      </c>
      <c r="F634" s="13" t="e">
        <v>#N/A</v>
      </c>
      <c r="G634" s="14" t="e">
        <v>#N/A</v>
      </c>
      <c r="H634" s="14" t="e">
        <v>#N/A</v>
      </c>
      <c r="J634" s="13" t="e">
        <v>#N/A</v>
      </c>
      <c r="K634" s="13" t="e">
        <v>#N/A</v>
      </c>
      <c r="L634" s="14" t="e">
        <v>#N/A</v>
      </c>
      <c r="M634" s="14" t="e">
        <v>#N/A</v>
      </c>
    </row>
    <row r="635" spans="5:13">
      <c r="E635" s="13" t="e">
        <v>#N/A</v>
      </c>
      <c r="F635" s="13" t="e">
        <v>#N/A</v>
      </c>
      <c r="G635" s="14" t="e">
        <v>#N/A</v>
      </c>
      <c r="H635" s="14" t="e">
        <v>#N/A</v>
      </c>
      <c r="J635" s="13" t="e">
        <v>#N/A</v>
      </c>
      <c r="K635" s="13" t="e">
        <v>#N/A</v>
      </c>
      <c r="L635" s="14" t="e">
        <v>#N/A</v>
      </c>
      <c r="M635" s="14" t="e">
        <v>#N/A</v>
      </c>
    </row>
    <row r="636" spans="5:13">
      <c r="E636" s="13" t="e">
        <v>#N/A</v>
      </c>
      <c r="F636" s="13" t="e">
        <v>#N/A</v>
      </c>
      <c r="G636" s="14" t="e">
        <v>#N/A</v>
      </c>
      <c r="H636" s="14" t="e">
        <v>#N/A</v>
      </c>
      <c r="J636" s="13" t="e">
        <v>#N/A</v>
      </c>
      <c r="K636" s="13" t="e">
        <v>#N/A</v>
      </c>
      <c r="L636" s="14" t="e">
        <v>#N/A</v>
      </c>
      <c r="M636" s="14" t="e">
        <v>#N/A</v>
      </c>
    </row>
    <row r="637" spans="5:13">
      <c r="E637" s="13" t="e">
        <v>#N/A</v>
      </c>
      <c r="F637" s="13" t="e">
        <v>#N/A</v>
      </c>
      <c r="G637" s="14" t="e">
        <v>#N/A</v>
      </c>
      <c r="H637" s="14" t="e">
        <v>#N/A</v>
      </c>
      <c r="J637" s="13" t="e">
        <v>#N/A</v>
      </c>
      <c r="K637" s="13" t="e">
        <v>#N/A</v>
      </c>
      <c r="L637" s="14" t="e">
        <v>#N/A</v>
      </c>
      <c r="M637" s="14" t="e">
        <v>#N/A</v>
      </c>
    </row>
    <row r="638" spans="5:13">
      <c r="E638" s="13" t="e">
        <v>#N/A</v>
      </c>
      <c r="F638" s="13" t="e">
        <v>#N/A</v>
      </c>
      <c r="G638" s="14" t="e">
        <v>#N/A</v>
      </c>
      <c r="H638" s="14" t="e">
        <v>#N/A</v>
      </c>
      <c r="J638" s="13" t="e">
        <v>#N/A</v>
      </c>
      <c r="K638" s="13" t="e">
        <v>#N/A</v>
      </c>
      <c r="L638" s="14" t="e">
        <v>#N/A</v>
      </c>
      <c r="M638" s="14" t="e">
        <v>#N/A</v>
      </c>
    </row>
    <row r="639" spans="5:13">
      <c r="E639" s="13" t="e">
        <v>#N/A</v>
      </c>
      <c r="F639" s="13" t="e">
        <v>#N/A</v>
      </c>
      <c r="G639" s="14" t="e">
        <v>#N/A</v>
      </c>
      <c r="H639" s="14" t="e">
        <v>#N/A</v>
      </c>
      <c r="J639" s="13" t="e">
        <v>#N/A</v>
      </c>
      <c r="K639" s="13" t="e">
        <v>#N/A</v>
      </c>
      <c r="L639" s="14" t="e">
        <v>#N/A</v>
      </c>
      <c r="M639" s="14" t="e">
        <v>#N/A</v>
      </c>
    </row>
    <row r="640" spans="5:13">
      <c r="E640" s="13" t="e">
        <v>#N/A</v>
      </c>
      <c r="F640" s="13" t="e">
        <v>#N/A</v>
      </c>
      <c r="G640" s="14" t="e">
        <v>#N/A</v>
      </c>
      <c r="H640" s="14" t="e">
        <v>#N/A</v>
      </c>
      <c r="J640" s="13" t="e">
        <v>#N/A</v>
      </c>
      <c r="K640" s="13" t="e">
        <v>#N/A</v>
      </c>
      <c r="L640" s="14" t="e">
        <v>#N/A</v>
      </c>
      <c r="M640" s="14" t="e">
        <v>#N/A</v>
      </c>
    </row>
    <row r="641" spans="5:13">
      <c r="E641" s="13" t="e">
        <v>#N/A</v>
      </c>
      <c r="F641" s="13" t="e">
        <v>#N/A</v>
      </c>
      <c r="G641" s="14" t="e">
        <v>#N/A</v>
      </c>
      <c r="H641" s="14" t="e">
        <v>#N/A</v>
      </c>
      <c r="J641" s="13" t="e">
        <v>#N/A</v>
      </c>
      <c r="K641" s="13" t="e">
        <v>#N/A</v>
      </c>
      <c r="L641" s="14" t="e">
        <v>#N/A</v>
      </c>
      <c r="M641" s="14" t="e">
        <v>#N/A</v>
      </c>
    </row>
    <row r="642" spans="5:13">
      <c r="E642" s="13" t="e">
        <v>#N/A</v>
      </c>
      <c r="F642" s="13" t="e">
        <v>#N/A</v>
      </c>
      <c r="G642" s="14" t="e">
        <v>#N/A</v>
      </c>
      <c r="H642" s="14" t="e">
        <v>#N/A</v>
      </c>
      <c r="J642" s="13" t="e">
        <v>#N/A</v>
      </c>
      <c r="K642" s="13" t="e">
        <v>#N/A</v>
      </c>
      <c r="L642" s="14" t="e">
        <v>#N/A</v>
      </c>
      <c r="M642" s="14" t="e">
        <v>#N/A</v>
      </c>
    </row>
    <row r="643" spans="5:13">
      <c r="E643" s="13" t="e">
        <v>#N/A</v>
      </c>
      <c r="F643" s="13" t="e">
        <v>#N/A</v>
      </c>
      <c r="G643" s="14" t="e">
        <v>#N/A</v>
      </c>
      <c r="H643" s="14" t="e">
        <v>#N/A</v>
      </c>
      <c r="J643" s="13" t="e">
        <v>#N/A</v>
      </c>
      <c r="K643" s="13" t="e">
        <v>#N/A</v>
      </c>
      <c r="L643" s="14" t="e">
        <v>#N/A</v>
      </c>
      <c r="M643" s="14" t="e">
        <v>#N/A</v>
      </c>
    </row>
    <row r="644" spans="5:13">
      <c r="E644" s="13" t="e">
        <v>#N/A</v>
      </c>
      <c r="F644" s="13" t="e">
        <v>#N/A</v>
      </c>
      <c r="G644" s="14" t="e">
        <v>#N/A</v>
      </c>
      <c r="H644" s="14" t="e">
        <v>#N/A</v>
      </c>
      <c r="J644" s="13" t="e">
        <v>#N/A</v>
      </c>
      <c r="K644" s="13" t="e">
        <v>#N/A</v>
      </c>
      <c r="L644" s="14" t="e">
        <v>#N/A</v>
      </c>
      <c r="M644" s="14" t="e">
        <v>#N/A</v>
      </c>
    </row>
    <row r="645" spans="5:13">
      <c r="E645" s="13" t="e">
        <v>#N/A</v>
      </c>
      <c r="F645" s="13" t="e">
        <v>#N/A</v>
      </c>
      <c r="G645" s="14" t="e">
        <v>#N/A</v>
      </c>
      <c r="H645" s="14" t="e">
        <v>#N/A</v>
      </c>
      <c r="J645" s="13" t="e">
        <v>#N/A</v>
      </c>
      <c r="K645" s="13" t="e">
        <v>#N/A</v>
      </c>
      <c r="L645" s="14" t="e">
        <v>#N/A</v>
      </c>
      <c r="M645" s="14" t="e">
        <v>#N/A</v>
      </c>
    </row>
    <row r="646" spans="5:13">
      <c r="E646" s="13" t="e">
        <v>#N/A</v>
      </c>
      <c r="F646" s="13" t="e">
        <v>#N/A</v>
      </c>
      <c r="G646" s="14" t="e">
        <v>#N/A</v>
      </c>
      <c r="H646" s="14" t="e">
        <v>#N/A</v>
      </c>
      <c r="J646" s="13" t="e">
        <v>#N/A</v>
      </c>
      <c r="K646" s="13" t="e">
        <v>#N/A</v>
      </c>
      <c r="L646" s="14" t="e">
        <v>#N/A</v>
      </c>
      <c r="M646" s="14" t="e">
        <v>#N/A</v>
      </c>
    </row>
    <row r="647" spans="5:13">
      <c r="E647" s="13" t="e">
        <v>#N/A</v>
      </c>
      <c r="F647" s="13" t="e">
        <v>#N/A</v>
      </c>
      <c r="G647" s="14" t="e">
        <v>#N/A</v>
      </c>
      <c r="H647" s="14" t="e">
        <v>#N/A</v>
      </c>
      <c r="J647" s="13" t="e">
        <v>#N/A</v>
      </c>
      <c r="K647" s="13" t="e">
        <v>#N/A</v>
      </c>
      <c r="L647" s="14" t="e">
        <v>#N/A</v>
      </c>
      <c r="M647" s="14" t="e">
        <v>#N/A</v>
      </c>
    </row>
    <row r="648" spans="5:13">
      <c r="E648" s="13" t="e">
        <v>#N/A</v>
      </c>
      <c r="F648" s="13" t="e">
        <v>#N/A</v>
      </c>
      <c r="G648" s="14" t="e">
        <v>#N/A</v>
      </c>
      <c r="H648" s="14" t="e">
        <v>#N/A</v>
      </c>
      <c r="J648" s="13" t="e">
        <v>#N/A</v>
      </c>
      <c r="K648" s="13" t="e">
        <v>#N/A</v>
      </c>
      <c r="L648" s="14" t="e">
        <v>#N/A</v>
      </c>
      <c r="M648" s="14" t="e">
        <v>#N/A</v>
      </c>
    </row>
    <row r="649" spans="5:13">
      <c r="E649" s="13" t="e">
        <v>#N/A</v>
      </c>
      <c r="F649" s="13" t="e">
        <v>#N/A</v>
      </c>
      <c r="G649" s="14" t="e">
        <v>#N/A</v>
      </c>
      <c r="H649" s="14" t="e">
        <v>#N/A</v>
      </c>
      <c r="J649" s="13" t="e">
        <v>#N/A</v>
      </c>
      <c r="K649" s="13" t="e">
        <v>#N/A</v>
      </c>
      <c r="L649" s="14" t="e">
        <v>#N/A</v>
      </c>
      <c r="M649" s="14" t="e">
        <v>#N/A</v>
      </c>
    </row>
    <row r="650" spans="5:13">
      <c r="E650" s="13" t="e">
        <v>#N/A</v>
      </c>
      <c r="F650" s="13" t="e">
        <v>#N/A</v>
      </c>
      <c r="G650" s="14" t="e">
        <v>#N/A</v>
      </c>
      <c r="H650" s="14" t="e">
        <v>#N/A</v>
      </c>
      <c r="J650" s="13" t="e">
        <v>#N/A</v>
      </c>
      <c r="K650" s="13" t="e">
        <v>#N/A</v>
      </c>
      <c r="L650" s="14" t="e">
        <v>#N/A</v>
      </c>
      <c r="M650" s="14" t="e">
        <v>#N/A</v>
      </c>
    </row>
    <row r="651" spans="5:13">
      <c r="E651" s="13" t="e">
        <v>#N/A</v>
      </c>
      <c r="F651" s="13" t="e">
        <v>#N/A</v>
      </c>
      <c r="G651" s="14" t="e">
        <v>#N/A</v>
      </c>
      <c r="H651" s="14" t="e">
        <v>#N/A</v>
      </c>
      <c r="J651" s="13" t="e">
        <v>#N/A</v>
      </c>
      <c r="K651" s="13" t="e">
        <v>#N/A</v>
      </c>
      <c r="L651" s="14" t="e">
        <v>#N/A</v>
      </c>
      <c r="M651" s="14" t="e">
        <v>#N/A</v>
      </c>
    </row>
    <row r="652" spans="5:13">
      <c r="E652" s="13" t="e">
        <v>#N/A</v>
      </c>
      <c r="F652" s="13" t="e">
        <v>#N/A</v>
      </c>
      <c r="G652" s="14" t="e">
        <v>#N/A</v>
      </c>
      <c r="H652" s="14" t="e">
        <v>#N/A</v>
      </c>
      <c r="J652" s="13" t="e">
        <v>#N/A</v>
      </c>
      <c r="K652" s="13" t="e">
        <v>#N/A</v>
      </c>
      <c r="L652" s="14" t="e">
        <v>#N/A</v>
      </c>
      <c r="M652" s="14" t="e">
        <v>#N/A</v>
      </c>
    </row>
    <row r="653" spans="5:13">
      <c r="E653" s="13" t="e">
        <v>#N/A</v>
      </c>
      <c r="F653" s="13" t="e">
        <v>#N/A</v>
      </c>
      <c r="G653" s="14" t="e">
        <v>#N/A</v>
      </c>
      <c r="H653" s="14" t="e">
        <v>#N/A</v>
      </c>
      <c r="J653" s="13" t="e">
        <v>#N/A</v>
      </c>
      <c r="K653" s="13" t="e">
        <v>#N/A</v>
      </c>
      <c r="L653" s="14" t="e">
        <v>#N/A</v>
      </c>
      <c r="M653" s="14" t="e">
        <v>#N/A</v>
      </c>
    </row>
    <row r="654" spans="5:13">
      <c r="E654" s="13" t="e">
        <v>#N/A</v>
      </c>
      <c r="F654" s="13" t="e">
        <v>#N/A</v>
      </c>
      <c r="G654" s="14" t="e">
        <v>#N/A</v>
      </c>
      <c r="H654" s="14" t="e">
        <v>#N/A</v>
      </c>
      <c r="J654" s="13" t="e">
        <v>#N/A</v>
      </c>
      <c r="K654" s="13" t="e">
        <v>#N/A</v>
      </c>
      <c r="L654" s="14" t="e">
        <v>#N/A</v>
      </c>
      <c r="M654" s="14" t="e">
        <v>#N/A</v>
      </c>
    </row>
    <row r="655" spans="5:13">
      <c r="E655" s="13" t="e">
        <v>#N/A</v>
      </c>
      <c r="F655" s="13" t="e">
        <v>#N/A</v>
      </c>
      <c r="G655" s="14" t="e">
        <v>#N/A</v>
      </c>
      <c r="H655" s="14" t="e">
        <v>#N/A</v>
      </c>
      <c r="J655" s="13" t="e">
        <v>#N/A</v>
      </c>
      <c r="K655" s="13" t="e">
        <v>#N/A</v>
      </c>
      <c r="L655" s="14" t="e">
        <v>#N/A</v>
      </c>
      <c r="M655" s="14" t="e">
        <v>#N/A</v>
      </c>
    </row>
    <row r="656" spans="5:13">
      <c r="E656" s="13" t="e">
        <v>#N/A</v>
      </c>
      <c r="F656" s="13" t="e">
        <v>#N/A</v>
      </c>
      <c r="G656" s="14" t="e">
        <v>#N/A</v>
      </c>
      <c r="H656" s="14" t="e">
        <v>#N/A</v>
      </c>
      <c r="J656" s="13" t="e">
        <v>#N/A</v>
      </c>
      <c r="K656" s="13" t="e">
        <v>#N/A</v>
      </c>
      <c r="L656" s="14" t="e">
        <v>#N/A</v>
      </c>
      <c r="M656" s="14" t="e">
        <v>#N/A</v>
      </c>
    </row>
    <row r="657" spans="5:13">
      <c r="E657" s="13" t="e">
        <v>#N/A</v>
      </c>
      <c r="F657" s="13" t="e">
        <v>#N/A</v>
      </c>
      <c r="G657" s="14" t="e">
        <v>#N/A</v>
      </c>
      <c r="H657" s="14" t="e">
        <v>#N/A</v>
      </c>
      <c r="J657" s="13" t="e">
        <v>#N/A</v>
      </c>
      <c r="K657" s="13" t="e">
        <v>#N/A</v>
      </c>
      <c r="L657" s="14" t="e">
        <v>#N/A</v>
      </c>
      <c r="M657" s="14" t="e">
        <v>#N/A</v>
      </c>
    </row>
    <row r="658" spans="5:13">
      <c r="E658" s="13" t="e">
        <v>#N/A</v>
      </c>
      <c r="F658" s="13" t="e">
        <v>#N/A</v>
      </c>
      <c r="G658" s="14" t="e">
        <v>#N/A</v>
      </c>
      <c r="H658" s="14" t="e">
        <v>#N/A</v>
      </c>
      <c r="J658" s="13" t="e">
        <v>#N/A</v>
      </c>
      <c r="K658" s="13" t="e">
        <v>#N/A</v>
      </c>
      <c r="L658" s="14" t="e">
        <v>#N/A</v>
      </c>
      <c r="M658" s="14" t="e">
        <v>#N/A</v>
      </c>
    </row>
    <row r="659" spans="5:13">
      <c r="E659" s="13" t="e">
        <v>#N/A</v>
      </c>
      <c r="F659" s="13" t="e">
        <v>#N/A</v>
      </c>
      <c r="G659" s="14" t="e">
        <v>#N/A</v>
      </c>
      <c r="H659" s="14" t="e">
        <v>#N/A</v>
      </c>
      <c r="J659" s="13" t="e">
        <v>#N/A</v>
      </c>
      <c r="K659" s="13" t="e">
        <v>#N/A</v>
      </c>
      <c r="L659" s="14" t="e">
        <v>#N/A</v>
      </c>
      <c r="M659" s="14" t="e">
        <v>#N/A</v>
      </c>
    </row>
    <row r="660" spans="5:13">
      <c r="E660" s="13" t="e">
        <v>#N/A</v>
      </c>
      <c r="F660" s="13" t="e">
        <v>#N/A</v>
      </c>
      <c r="G660" s="14" t="e">
        <v>#N/A</v>
      </c>
      <c r="H660" s="14" t="e">
        <v>#N/A</v>
      </c>
      <c r="J660" s="13" t="e">
        <v>#N/A</v>
      </c>
      <c r="K660" s="13" t="e">
        <v>#N/A</v>
      </c>
      <c r="L660" s="14" t="e">
        <v>#N/A</v>
      </c>
      <c r="M660" s="14" t="e">
        <v>#N/A</v>
      </c>
    </row>
    <row r="661" spans="5:13">
      <c r="E661" s="13" t="e">
        <v>#N/A</v>
      </c>
      <c r="F661" s="13" t="e">
        <v>#N/A</v>
      </c>
      <c r="G661" s="14" t="e">
        <v>#N/A</v>
      </c>
      <c r="H661" s="14" t="e">
        <v>#N/A</v>
      </c>
      <c r="J661" s="13" t="e">
        <v>#N/A</v>
      </c>
      <c r="K661" s="13" t="e">
        <v>#N/A</v>
      </c>
      <c r="L661" s="14" t="e">
        <v>#N/A</v>
      </c>
      <c r="M661" s="14" t="e">
        <v>#N/A</v>
      </c>
    </row>
    <row r="662" spans="5:13">
      <c r="E662" s="13" t="e">
        <v>#N/A</v>
      </c>
      <c r="F662" s="13" t="e">
        <v>#N/A</v>
      </c>
      <c r="G662" s="14" t="e">
        <v>#N/A</v>
      </c>
      <c r="H662" s="14" t="e">
        <v>#N/A</v>
      </c>
      <c r="J662" s="13" t="e">
        <v>#N/A</v>
      </c>
      <c r="K662" s="13" t="e">
        <v>#N/A</v>
      </c>
      <c r="L662" s="14" t="e">
        <v>#N/A</v>
      </c>
      <c r="M662" s="14" t="e">
        <v>#N/A</v>
      </c>
    </row>
    <row r="663" spans="5:13">
      <c r="E663" s="13" t="e">
        <v>#N/A</v>
      </c>
      <c r="F663" s="13" t="e">
        <v>#N/A</v>
      </c>
      <c r="G663" s="14" t="e">
        <v>#N/A</v>
      </c>
      <c r="H663" s="14" t="e">
        <v>#N/A</v>
      </c>
      <c r="J663" s="13" t="e">
        <v>#N/A</v>
      </c>
      <c r="K663" s="13" t="e">
        <v>#N/A</v>
      </c>
      <c r="L663" s="14" t="e">
        <v>#N/A</v>
      </c>
      <c r="M663" s="14" t="e">
        <v>#N/A</v>
      </c>
    </row>
    <row r="664" spans="5:13">
      <c r="E664" s="13" t="e">
        <v>#N/A</v>
      </c>
      <c r="F664" s="13" t="e">
        <v>#N/A</v>
      </c>
      <c r="G664" s="14" t="e">
        <v>#N/A</v>
      </c>
      <c r="H664" s="14" t="e">
        <v>#N/A</v>
      </c>
      <c r="J664" s="13" t="e">
        <v>#N/A</v>
      </c>
      <c r="K664" s="13" t="e">
        <v>#N/A</v>
      </c>
      <c r="L664" s="14" t="e">
        <v>#N/A</v>
      </c>
      <c r="M664" s="14" t="e">
        <v>#N/A</v>
      </c>
    </row>
    <row r="665" spans="5:13">
      <c r="E665" s="13" t="e">
        <v>#N/A</v>
      </c>
      <c r="F665" s="13" t="e">
        <v>#N/A</v>
      </c>
      <c r="G665" s="14" t="e">
        <v>#N/A</v>
      </c>
      <c r="H665" s="14" t="e">
        <v>#N/A</v>
      </c>
      <c r="J665" s="13" t="e">
        <v>#N/A</v>
      </c>
      <c r="K665" s="13" t="e">
        <v>#N/A</v>
      </c>
      <c r="L665" s="14" t="e">
        <v>#N/A</v>
      </c>
      <c r="M665" s="14" t="e">
        <v>#N/A</v>
      </c>
    </row>
    <row r="666" spans="5:13">
      <c r="E666" s="13" t="e">
        <v>#N/A</v>
      </c>
      <c r="F666" s="13" t="e">
        <v>#N/A</v>
      </c>
      <c r="G666" s="14" t="e">
        <v>#N/A</v>
      </c>
      <c r="H666" s="14" t="e">
        <v>#N/A</v>
      </c>
      <c r="J666" s="13" t="e">
        <v>#N/A</v>
      </c>
      <c r="K666" s="13" t="e">
        <v>#N/A</v>
      </c>
      <c r="L666" s="14" t="e">
        <v>#N/A</v>
      </c>
      <c r="M666" s="14" t="e">
        <v>#N/A</v>
      </c>
    </row>
    <row r="667" spans="5:13">
      <c r="E667" s="13" t="e">
        <v>#N/A</v>
      </c>
      <c r="F667" s="13" t="e">
        <v>#N/A</v>
      </c>
      <c r="G667" s="14" t="e">
        <v>#N/A</v>
      </c>
      <c r="H667" s="14" t="e">
        <v>#N/A</v>
      </c>
      <c r="J667" s="13" t="e">
        <v>#N/A</v>
      </c>
      <c r="K667" s="13" t="e">
        <v>#N/A</v>
      </c>
      <c r="L667" s="14" t="e">
        <v>#N/A</v>
      </c>
      <c r="M667" s="14" t="e">
        <v>#N/A</v>
      </c>
    </row>
    <row r="668" spans="5:13">
      <c r="E668" s="13" t="e">
        <v>#N/A</v>
      </c>
      <c r="F668" s="13" t="e">
        <v>#N/A</v>
      </c>
      <c r="G668" s="14" t="e">
        <v>#N/A</v>
      </c>
      <c r="H668" s="14" t="e">
        <v>#N/A</v>
      </c>
      <c r="J668" s="13" t="e">
        <v>#N/A</v>
      </c>
      <c r="K668" s="13" t="e">
        <v>#N/A</v>
      </c>
      <c r="L668" s="14" t="e">
        <v>#N/A</v>
      </c>
      <c r="M668" s="14" t="e">
        <v>#N/A</v>
      </c>
    </row>
    <row r="669" spans="5:13">
      <c r="E669" s="13" t="e">
        <v>#N/A</v>
      </c>
      <c r="F669" s="13" t="e">
        <v>#N/A</v>
      </c>
      <c r="G669" s="14" t="e">
        <v>#N/A</v>
      </c>
      <c r="H669" s="14" t="e">
        <v>#N/A</v>
      </c>
      <c r="J669" s="13" t="e">
        <v>#N/A</v>
      </c>
      <c r="K669" s="13" t="e">
        <v>#N/A</v>
      </c>
      <c r="L669" s="14" t="e">
        <v>#N/A</v>
      </c>
      <c r="M669" s="14" t="e">
        <v>#N/A</v>
      </c>
    </row>
    <row r="670" spans="5:13">
      <c r="E670" s="13" t="e">
        <v>#N/A</v>
      </c>
      <c r="F670" s="13" t="e">
        <v>#N/A</v>
      </c>
      <c r="G670" s="14" t="e">
        <v>#N/A</v>
      </c>
      <c r="H670" s="14" t="e">
        <v>#N/A</v>
      </c>
      <c r="J670" s="13" t="e">
        <v>#N/A</v>
      </c>
      <c r="K670" s="13" t="e">
        <v>#N/A</v>
      </c>
      <c r="L670" s="14" t="e">
        <v>#N/A</v>
      </c>
      <c r="M670" s="14" t="e">
        <v>#N/A</v>
      </c>
    </row>
    <row r="671" spans="5:13">
      <c r="E671" s="13" t="e">
        <v>#N/A</v>
      </c>
      <c r="F671" s="13" t="e">
        <v>#N/A</v>
      </c>
      <c r="G671" s="14" t="e">
        <v>#N/A</v>
      </c>
      <c r="H671" s="14" t="e">
        <v>#N/A</v>
      </c>
      <c r="J671" s="13" t="e">
        <v>#N/A</v>
      </c>
      <c r="K671" s="13" t="e">
        <v>#N/A</v>
      </c>
      <c r="L671" s="14" t="e">
        <v>#N/A</v>
      </c>
      <c r="M671" s="14" t="e">
        <v>#N/A</v>
      </c>
    </row>
    <row r="672" spans="5:13">
      <c r="E672" s="13" t="e">
        <v>#N/A</v>
      </c>
      <c r="F672" s="13" t="e">
        <v>#N/A</v>
      </c>
      <c r="G672" s="14" t="e">
        <v>#N/A</v>
      </c>
      <c r="H672" s="14" t="e">
        <v>#N/A</v>
      </c>
      <c r="J672" s="13" t="e">
        <v>#N/A</v>
      </c>
      <c r="K672" s="13" t="e">
        <v>#N/A</v>
      </c>
      <c r="L672" s="14" t="e">
        <v>#N/A</v>
      </c>
      <c r="M672" s="14" t="e">
        <v>#N/A</v>
      </c>
    </row>
    <row r="673" spans="5:13">
      <c r="E673" s="13" t="e">
        <v>#N/A</v>
      </c>
      <c r="F673" s="13" t="e">
        <v>#N/A</v>
      </c>
      <c r="G673" s="14" t="e">
        <v>#N/A</v>
      </c>
      <c r="H673" s="14" t="e">
        <v>#N/A</v>
      </c>
      <c r="J673" s="13" t="e">
        <v>#N/A</v>
      </c>
      <c r="K673" s="13" t="e">
        <v>#N/A</v>
      </c>
      <c r="L673" s="14" t="e">
        <v>#N/A</v>
      </c>
      <c r="M673" s="14" t="e">
        <v>#N/A</v>
      </c>
    </row>
    <row r="674" spans="5:13">
      <c r="E674" s="13" t="e">
        <v>#N/A</v>
      </c>
      <c r="F674" s="13" t="e">
        <v>#N/A</v>
      </c>
      <c r="G674" s="14" t="e">
        <v>#N/A</v>
      </c>
      <c r="H674" s="14" t="e">
        <v>#N/A</v>
      </c>
      <c r="J674" s="13" t="e">
        <v>#N/A</v>
      </c>
      <c r="K674" s="13" t="e">
        <v>#N/A</v>
      </c>
      <c r="L674" s="14" t="e">
        <v>#N/A</v>
      </c>
      <c r="M674" s="14" t="e">
        <v>#N/A</v>
      </c>
    </row>
    <row r="675" spans="5:13">
      <c r="E675" s="13" t="e">
        <v>#N/A</v>
      </c>
      <c r="F675" s="13" t="e">
        <v>#N/A</v>
      </c>
      <c r="G675" s="14" t="e">
        <v>#N/A</v>
      </c>
      <c r="H675" s="14" t="e">
        <v>#N/A</v>
      </c>
      <c r="J675" s="13" t="e">
        <v>#N/A</v>
      </c>
      <c r="K675" s="13" t="e">
        <v>#N/A</v>
      </c>
      <c r="L675" s="14" t="e">
        <v>#N/A</v>
      </c>
      <c r="M675" s="14" t="e">
        <v>#N/A</v>
      </c>
    </row>
    <row r="676" spans="5:13">
      <c r="E676" s="13" t="e">
        <v>#N/A</v>
      </c>
      <c r="F676" s="13" t="e">
        <v>#N/A</v>
      </c>
      <c r="G676" s="14" t="e">
        <v>#N/A</v>
      </c>
      <c r="H676" s="14" t="e">
        <v>#N/A</v>
      </c>
      <c r="J676" s="13" t="e">
        <v>#N/A</v>
      </c>
      <c r="K676" s="13" t="e">
        <v>#N/A</v>
      </c>
      <c r="L676" s="14" t="e">
        <v>#N/A</v>
      </c>
      <c r="M676" s="14" t="e">
        <v>#N/A</v>
      </c>
    </row>
    <row r="677" spans="5:13">
      <c r="E677" s="13" t="e">
        <v>#N/A</v>
      </c>
      <c r="F677" s="13" t="e">
        <v>#N/A</v>
      </c>
      <c r="G677" s="14" t="e">
        <v>#N/A</v>
      </c>
      <c r="H677" s="14" t="e">
        <v>#N/A</v>
      </c>
      <c r="J677" s="13" t="e">
        <v>#N/A</v>
      </c>
      <c r="K677" s="13" t="e">
        <v>#N/A</v>
      </c>
      <c r="L677" s="14" t="e">
        <v>#N/A</v>
      </c>
      <c r="M677" s="14" t="e">
        <v>#N/A</v>
      </c>
    </row>
    <row r="678" spans="5:13">
      <c r="E678" s="13" t="e">
        <v>#N/A</v>
      </c>
      <c r="F678" s="13" t="e">
        <v>#N/A</v>
      </c>
      <c r="G678" s="14" t="e">
        <v>#N/A</v>
      </c>
      <c r="H678" s="14" t="e">
        <v>#N/A</v>
      </c>
      <c r="J678" s="13" t="e">
        <v>#N/A</v>
      </c>
      <c r="K678" s="13" t="e">
        <v>#N/A</v>
      </c>
      <c r="L678" s="14" t="e">
        <v>#N/A</v>
      </c>
      <c r="M678" s="14" t="e">
        <v>#N/A</v>
      </c>
    </row>
    <row r="679" spans="5:13">
      <c r="E679" s="13" t="e">
        <v>#N/A</v>
      </c>
      <c r="F679" s="13" t="e">
        <v>#N/A</v>
      </c>
      <c r="G679" s="14" t="e">
        <v>#N/A</v>
      </c>
      <c r="H679" s="14" t="e">
        <v>#N/A</v>
      </c>
      <c r="J679" s="13" t="e">
        <v>#N/A</v>
      </c>
      <c r="K679" s="13" t="e">
        <v>#N/A</v>
      </c>
      <c r="L679" s="14" t="e">
        <v>#N/A</v>
      </c>
      <c r="M679" s="14" t="e">
        <v>#N/A</v>
      </c>
    </row>
    <row r="680" spans="5:13">
      <c r="E680" s="13" t="e">
        <v>#N/A</v>
      </c>
      <c r="F680" s="13" t="e">
        <v>#N/A</v>
      </c>
      <c r="G680" s="14" t="e">
        <v>#N/A</v>
      </c>
      <c r="H680" s="14" t="e">
        <v>#N/A</v>
      </c>
      <c r="J680" s="13" t="e">
        <v>#N/A</v>
      </c>
      <c r="K680" s="13" t="e">
        <v>#N/A</v>
      </c>
      <c r="L680" s="14" t="e">
        <v>#N/A</v>
      </c>
      <c r="M680" s="14" t="e">
        <v>#N/A</v>
      </c>
    </row>
    <row r="681" spans="5:13">
      <c r="E681" s="13" t="e">
        <v>#N/A</v>
      </c>
      <c r="F681" s="13" t="e">
        <v>#N/A</v>
      </c>
      <c r="G681" s="14" t="e">
        <v>#N/A</v>
      </c>
      <c r="H681" s="14" t="e">
        <v>#N/A</v>
      </c>
      <c r="J681" s="13" t="e">
        <v>#N/A</v>
      </c>
      <c r="K681" s="13" t="e">
        <v>#N/A</v>
      </c>
      <c r="L681" s="14" t="e">
        <v>#N/A</v>
      </c>
      <c r="M681" s="14" t="e">
        <v>#N/A</v>
      </c>
    </row>
    <row r="682" spans="5:13">
      <c r="E682" s="13" t="e">
        <v>#N/A</v>
      </c>
      <c r="F682" s="13" t="e">
        <v>#N/A</v>
      </c>
      <c r="G682" s="14" t="e">
        <v>#N/A</v>
      </c>
      <c r="H682" s="14" t="e">
        <v>#N/A</v>
      </c>
      <c r="J682" s="13" t="e">
        <v>#N/A</v>
      </c>
      <c r="K682" s="13" t="e">
        <v>#N/A</v>
      </c>
      <c r="L682" s="14" t="e">
        <v>#N/A</v>
      </c>
      <c r="M682" s="14" t="e">
        <v>#N/A</v>
      </c>
    </row>
    <row r="683" spans="5:13">
      <c r="E683" s="13" t="e">
        <v>#N/A</v>
      </c>
      <c r="F683" s="13" t="e">
        <v>#N/A</v>
      </c>
      <c r="G683" s="14" t="e">
        <v>#N/A</v>
      </c>
      <c r="H683" s="14" t="e">
        <v>#N/A</v>
      </c>
      <c r="J683" s="13" t="e">
        <v>#N/A</v>
      </c>
      <c r="K683" s="13" t="e">
        <v>#N/A</v>
      </c>
      <c r="L683" s="14" t="e">
        <v>#N/A</v>
      </c>
      <c r="M683" s="14" t="e">
        <v>#N/A</v>
      </c>
    </row>
    <row r="684" spans="5:13">
      <c r="E684" s="13" t="e">
        <v>#N/A</v>
      </c>
      <c r="F684" s="13" t="e">
        <v>#N/A</v>
      </c>
      <c r="G684" s="14" t="e">
        <v>#N/A</v>
      </c>
      <c r="H684" s="14" t="e">
        <v>#N/A</v>
      </c>
      <c r="J684" s="13" t="e">
        <v>#N/A</v>
      </c>
      <c r="K684" s="13" t="e">
        <v>#N/A</v>
      </c>
      <c r="L684" s="14" t="e">
        <v>#N/A</v>
      </c>
      <c r="M684" s="14" t="e">
        <v>#N/A</v>
      </c>
    </row>
    <row r="685" spans="5:13">
      <c r="E685" s="13" t="e">
        <v>#N/A</v>
      </c>
      <c r="F685" s="13" t="e">
        <v>#N/A</v>
      </c>
      <c r="G685" s="14" t="e">
        <v>#N/A</v>
      </c>
      <c r="H685" s="14" t="e">
        <v>#N/A</v>
      </c>
      <c r="J685" s="13" t="e">
        <v>#N/A</v>
      </c>
      <c r="K685" s="13" t="e">
        <v>#N/A</v>
      </c>
      <c r="L685" s="14" t="e">
        <v>#N/A</v>
      </c>
      <c r="M685" s="14" t="e">
        <v>#N/A</v>
      </c>
    </row>
    <row r="686" spans="5:13">
      <c r="E686" s="13" t="e">
        <v>#N/A</v>
      </c>
      <c r="F686" s="13" t="e">
        <v>#N/A</v>
      </c>
      <c r="G686" s="14" t="e">
        <v>#N/A</v>
      </c>
      <c r="H686" s="14" t="e">
        <v>#N/A</v>
      </c>
      <c r="J686" s="13" t="e">
        <v>#N/A</v>
      </c>
      <c r="K686" s="13" t="e">
        <v>#N/A</v>
      </c>
      <c r="L686" s="14" t="e">
        <v>#N/A</v>
      </c>
      <c r="M686" s="14" t="e">
        <v>#N/A</v>
      </c>
    </row>
    <row r="687" spans="5:13">
      <c r="E687" s="13" t="e">
        <v>#N/A</v>
      </c>
      <c r="F687" s="13" t="e">
        <v>#N/A</v>
      </c>
      <c r="G687" s="14" t="e">
        <v>#N/A</v>
      </c>
      <c r="H687" s="14" t="e">
        <v>#N/A</v>
      </c>
      <c r="J687" s="13" t="e">
        <v>#N/A</v>
      </c>
      <c r="K687" s="13" t="e">
        <v>#N/A</v>
      </c>
      <c r="L687" s="14" t="e">
        <v>#N/A</v>
      </c>
      <c r="M687" s="14" t="e">
        <v>#N/A</v>
      </c>
    </row>
    <row r="688" spans="5:13">
      <c r="E688" s="13" t="e">
        <v>#N/A</v>
      </c>
      <c r="F688" s="13" t="e">
        <v>#N/A</v>
      </c>
      <c r="G688" s="14" t="e">
        <v>#N/A</v>
      </c>
      <c r="H688" s="14" t="e">
        <v>#N/A</v>
      </c>
      <c r="J688" s="13" t="e">
        <v>#N/A</v>
      </c>
      <c r="K688" s="13" t="e">
        <v>#N/A</v>
      </c>
      <c r="L688" s="14" t="e">
        <v>#N/A</v>
      </c>
      <c r="M688" s="14" t="e">
        <v>#N/A</v>
      </c>
    </row>
    <row r="689" spans="5:13">
      <c r="E689" s="13" t="e">
        <v>#N/A</v>
      </c>
      <c r="F689" s="13" t="e">
        <v>#N/A</v>
      </c>
      <c r="G689" s="14" t="e">
        <v>#N/A</v>
      </c>
      <c r="H689" s="14" t="e">
        <v>#N/A</v>
      </c>
      <c r="J689" s="13" t="e">
        <v>#N/A</v>
      </c>
      <c r="K689" s="13" t="e">
        <v>#N/A</v>
      </c>
      <c r="L689" s="14" t="e">
        <v>#N/A</v>
      </c>
      <c r="M689" s="14" t="e">
        <v>#N/A</v>
      </c>
    </row>
    <row r="690" spans="5:13">
      <c r="E690" s="13" t="e">
        <v>#N/A</v>
      </c>
      <c r="F690" s="13" t="e">
        <v>#N/A</v>
      </c>
      <c r="G690" s="14" t="e">
        <v>#N/A</v>
      </c>
      <c r="H690" s="14" t="e">
        <v>#N/A</v>
      </c>
      <c r="J690" s="13" t="e">
        <v>#N/A</v>
      </c>
      <c r="K690" s="13" t="e">
        <v>#N/A</v>
      </c>
      <c r="L690" s="14" t="e">
        <v>#N/A</v>
      </c>
      <c r="M690" s="14" t="e">
        <v>#N/A</v>
      </c>
    </row>
    <row r="691" spans="5:13">
      <c r="E691" s="13" t="e">
        <v>#N/A</v>
      </c>
      <c r="F691" s="13" t="e">
        <v>#N/A</v>
      </c>
      <c r="G691" s="14" t="e">
        <v>#N/A</v>
      </c>
      <c r="H691" s="14" t="e">
        <v>#N/A</v>
      </c>
      <c r="J691" s="13" t="e">
        <v>#N/A</v>
      </c>
      <c r="K691" s="13" t="e">
        <v>#N/A</v>
      </c>
      <c r="L691" s="14" t="e">
        <v>#N/A</v>
      </c>
      <c r="M691" s="14" t="e">
        <v>#N/A</v>
      </c>
    </row>
    <row r="692" spans="5:13">
      <c r="E692" s="13" t="e">
        <v>#N/A</v>
      </c>
      <c r="F692" s="13" t="e">
        <v>#N/A</v>
      </c>
      <c r="G692" s="14" t="e">
        <v>#N/A</v>
      </c>
      <c r="H692" s="14" t="e">
        <v>#N/A</v>
      </c>
      <c r="J692" s="13" t="e">
        <v>#N/A</v>
      </c>
      <c r="K692" s="13" t="e">
        <v>#N/A</v>
      </c>
      <c r="L692" s="14" t="e">
        <v>#N/A</v>
      </c>
      <c r="M692" s="14" t="e">
        <v>#N/A</v>
      </c>
    </row>
    <row r="693" spans="5:13">
      <c r="E693" s="13" t="e">
        <v>#N/A</v>
      </c>
      <c r="F693" s="13" t="e">
        <v>#N/A</v>
      </c>
      <c r="G693" s="14" t="e">
        <v>#N/A</v>
      </c>
      <c r="H693" s="14" t="e">
        <v>#N/A</v>
      </c>
      <c r="J693" s="13" t="e">
        <v>#N/A</v>
      </c>
      <c r="K693" s="13" t="e">
        <v>#N/A</v>
      </c>
      <c r="L693" s="14" t="e">
        <v>#N/A</v>
      </c>
      <c r="M693" s="14" t="e">
        <v>#N/A</v>
      </c>
    </row>
    <row r="694" spans="5:13">
      <c r="E694" s="13" t="e">
        <v>#N/A</v>
      </c>
      <c r="F694" s="13" t="e">
        <v>#N/A</v>
      </c>
      <c r="G694" s="14" t="e">
        <v>#N/A</v>
      </c>
      <c r="H694" s="14" t="e">
        <v>#N/A</v>
      </c>
      <c r="J694" s="13" t="e">
        <v>#N/A</v>
      </c>
      <c r="K694" s="13" t="e">
        <v>#N/A</v>
      </c>
      <c r="L694" s="14" t="e">
        <v>#N/A</v>
      </c>
      <c r="M694" s="14" t="e">
        <v>#N/A</v>
      </c>
    </row>
    <row r="695" spans="5:13">
      <c r="E695" s="13" t="e">
        <v>#N/A</v>
      </c>
      <c r="F695" s="13" t="e">
        <v>#N/A</v>
      </c>
      <c r="G695" s="14" t="e">
        <v>#N/A</v>
      </c>
      <c r="H695" s="14" t="e">
        <v>#N/A</v>
      </c>
      <c r="J695" s="13" t="e">
        <v>#N/A</v>
      </c>
      <c r="K695" s="13" t="e">
        <v>#N/A</v>
      </c>
      <c r="L695" s="14" t="e">
        <v>#N/A</v>
      </c>
      <c r="M695" s="14" t="e">
        <v>#N/A</v>
      </c>
    </row>
    <row r="696" spans="5:13">
      <c r="E696" s="13" t="e">
        <v>#N/A</v>
      </c>
      <c r="F696" s="13" t="e">
        <v>#N/A</v>
      </c>
      <c r="G696" s="14" t="e">
        <v>#N/A</v>
      </c>
      <c r="H696" s="14" t="e">
        <v>#N/A</v>
      </c>
      <c r="J696" s="13" t="e">
        <v>#N/A</v>
      </c>
      <c r="K696" s="13" t="e">
        <v>#N/A</v>
      </c>
      <c r="L696" s="14" t="e">
        <v>#N/A</v>
      </c>
      <c r="M696" s="14" t="e">
        <v>#N/A</v>
      </c>
    </row>
    <row r="697" spans="5:13">
      <c r="E697" s="13" t="e">
        <v>#N/A</v>
      </c>
      <c r="F697" s="13" t="e">
        <v>#N/A</v>
      </c>
      <c r="G697" s="14" t="e">
        <v>#N/A</v>
      </c>
      <c r="H697" s="14" t="e">
        <v>#N/A</v>
      </c>
      <c r="J697" s="13" t="e">
        <v>#N/A</v>
      </c>
      <c r="K697" s="13" t="e">
        <v>#N/A</v>
      </c>
      <c r="L697" s="14" t="e">
        <v>#N/A</v>
      </c>
      <c r="M697" s="14" t="e">
        <v>#N/A</v>
      </c>
    </row>
    <row r="698" spans="5:13">
      <c r="E698" s="13" t="e">
        <v>#N/A</v>
      </c>
      <c r="F698" s="13" t="e">
        <v>#N/A</v>
      </c>
      <c r="G698" s="14" t="e">
        <v>#N/A</v>
      </c>
      <c r="H698" s="14" t="e">
        <v>#N/A</v>
      </c>
      <c r="J698" s="13" t="e">
        <v>#N/A</v>
      </c>
      <c r="K698" s="13" t="e">
        <v>#N/A</v>
      </c>
      <c r="L698" s="14" t="e">
        <v>#N/A</v>
      </c>
      <c r="M698" s="14" t="e">
        <v>#N/A</v>
      </c>
    </row>
    <row r="699" spans="5:13">
      <c r="E699" s="13" t="e">
        <v>#N/A</v>
      </c>
      <c r="F699" s="13" t="e">
        <v>#N/A</v>
      </c>
      <c r="G699" s="14" t="e">
        <v>#N/A</v>
      </c>
      <c r="H699" s="14" t="e">
        <v>#N/A</v>
      </c>
      <c r="J699" s="13" t="e">
        <v>#N/A</v>
      </c>
      <c r="K699" s="13" t="e">
        <v>#N/A</v>
      </c>
      <c r="L699" s="14" t="e">
        <v>#N/A</v>
      </c>
      <c r="M699" s="14" t="e">
        <v>#N/A</v>
      </c>
    </row>
    <row r="700" spans="5:13">
      <c r="E700" s="13" t="e">
        <v>#N/A</v>
      </c>
      <c r="F700" s="13" t="e">
        <v>#N/A</v>
      </c>
      <c r="G700" s="14" t="e">
        <v>#N/A</v>
      </c>
      <c r="H700" s="14" t="e">
        <v>#N/A</v>
      </c>
      <c r="J700" s="13" t="e">
        <v>#N/A</v>
      </c>
      <c r="K700" s="13" t="e">
        <v>#N/A</v>
      </c>
      <c r="L700" s="14" t="e">
        <v>#N/A</v>
      </c>
      <c r="M700" s="14" t="e">
        <v>#N/A</v>
      </c>
    </row>
    <row r="701" spans="5:13">
      <c r="E701" s="13" t="e">
        <v>#N/A</v>
      </c>
      <c r="F701" s="13" t="e">
        <v>#N/A</v>
      </c>
      <c r="G701" s="14" t="e">
        <v>#N/A</v>
      </c>
      <c r="H701" s="14" t="e">
        <v>#N/A</v>
      </c>
      <c r="J701" s="13" t="e">
        <v>#N/A</v>
      </c>
      <c r="K701" s="13" t="e">
        <v>#N/A</v>
      </c>
      <c r="L701" s="14" t="e">
        <v>#N/A</v>
      </c>
      <c r="M701" s="14" t="e">
        <v>#N/A</v>
      </c>
    </row>
    <row r="702" spans="5:13">
      <c r="E702" s="13" t="e">
        <v>#N/A</v>
      </c>
      <c r="F702" s="13" t="e">
        <v>#N/A</v>
      </c>
      <c r="G702" s="14" t="e">
        <v>#N/A</v>
      </c>
      <c r="H702" s="14" t="e">
        <v>#N/A</v>
      </c>
      <c r="J702" s="13" t="e">
        <v>#N/A</v>
      </c>
      <c r="K702" s="13" t="e">
        <v>#N/A</v>
      </c>
      <c r="L702" s="14" t="e">
        <v>#N/A</v>
      </c>
      <c r="M702" s="14" t="e">
        <v>#N/A</v>
      </c>
    </row>
    <row r="703" spans="5:13">
      <c r="E703" s="13" t="e">
        <v>#N/A</v>
      </c>
      <c r="F703" s="13" t="e">
        <v>#N/A</v>
      </c>
      <c r="G703" s="14" t="e">
        <v>#N/A</v>
      </c>
      <c r="H703" s="14" t="e">
        <v>#N/A</v>
      </c>
      <c r="J703" s="13" t="e">
        <v>#N/A</v>
      </c>
      <c r="K703" s="13" t="e">
        <v>#N/A</v>
      </c>
      <c r="L703" s="14" t="e">
        <v>#N/A</v>
      </c>
      <c r="M703" s="14" t="e">
        <v>#N/A</v>
      </c>
    </row>
    <row r="704" spans="5:13">
      <c r="E704" s="13" t="e">
        <v>#N/A</v>
      </c>
      <c r="F704" s="13" t="e">
        <v>#N/A</v>
      </c>
      <c r="G704" s="14" t="e">
        <v>#N/A</v>
      </c>
      <c r="H704" s="14" t="e">
        <v>#N/A</v>
      </c>
      <c r="J704" s="13" t="e">
        <v>#N/A</v>
      </c>
      <c r="K704" s="13" t="e">
        <v>#N/A</v>
      </c>
      <c r="L704" s="14" t="e">
        <v>#N/A</v>
      </c>
      <c r="M704" s="14" t="e">
        <v>#N/A</v>
      </c>
    </row>
    <row r="705" spans="5:13">
      <c r="E705" s="13" t="e">
        <v>#N/A</v>
      </c>
      <c r="F705" s="13" t="e">
        <v>#N/A</v>
      </c>
      <c r="G705" s="14" t="e">
        <v>#N/A</v>
      </c>
      <c r="H705" s="14" t="e">
        <v>#N/A</v>
      </c>
      <c r="J705" s="13" t="e">
        <v>#N/A</v>
      </c>
      <c r="K705" s="13" t="e">
        <v>#N/A</v>
      </c>
      <c r="L705" s="14" t="e">
        <v>#N/A</v>
      </c>
      <c r="M705" s="14" t="e">
        <v>#N/A</v>
      </c>
    </row>
    <row r="706" spans="5:13">
      <c r="E706" s="13" t="e">
        <v>#N/A</v>
      </c>
      <c r="F706" s="13" t="e">
        <v>#N/A</v>
      </c>
      <c r="G706" s="14" t="e">
        <v>#N/A</v>
      </c>
      <c r="H706" s="14" t="e">
        <v>#N/A</v>
      </c>
      <c r="J706" s="13" t="e">
        <v>#N/A</v>
      </c>
      <c r="K706" s="13" t="e">
        <v>#N/A</v>
      </c>
      <c r="L706" s="14" t="e">
        <v>#N/A</v>
      </c>
      <c r="M706" s="14" t="e">
        <v>#N/A</v>
      </c>
    </row>
    <row r="707" spans="5:13">
      <c r="E707" s="13" t="e">
        <v>#N/A</v>
      </c>
      <c r="F707" s="13" t="e">
        <v>#N/A</v>
      </c>
      <c r="G707" s="14" t="e">
        <v>#N/A</v>
      </c>
      <c r="H707" s="14" t="e">
        <v>#N/A</v>
      </c>
      <c r="J707" s="13" t="e">
        <v>#N/A</v>
      </c>
      <c r="K707" s="13" t="e">
        <v>#N/A</v>
      </c>
      <c r="L707" s="14" t="e">
        <v>#N/A</v>
      </c>
      <c r="M707" s="14" t="e">
        <v>#N/A</v>
      </c>
    </row>
    <row r="708" spans="5:13">
      <c r="E708" s="13" t="e">
        <v>#N/A</v>
      </c>
      <c r="F708" s="13" t="e">
        <v>#N/A</v>
      </c>
      <c r="G708" s="14" t="e">
        <v>#N/A</v>
      </c>
      <c r="H708" s="14" t="e">
        <v>#N/A</v>
      </c>
      <c r="J708" s="13" t="e">
        <v>#N/A</v>
      </c>
      <c r="K708" s="13" t="e">
        <v>#N/A</v>
      </c>
      <c r="L708" s="14" t="e">
        <v>#N/A</v>
      </c>
      <c r="M708" s="14" t="e">
        <v>#N/A</v>
      </c>
    </row>
    <row r="709" spans="5:13">
      <c r="E709" s="13" t="e">
        <v>#N/A</v>
      </c>
      <c r="F709" s="13" t="e">
        <v>#N/A</v>
      </c>
      <c r="G709" s="14" t="e">
        <v>#N/A</v>
      </c>
      <c r="H709" s="14" t="e">
        <v>#N/A</v>
      </c>
      <c r="J709" s="13" t="e">
        <v>#N/A</v>
      </c>
      <c r="K709" s="13" t="e">
        <v>#N/A</v>
      </c>
      <c r="L709" s="14" t="e">
        <v>#N/A</v>
      </c>
      <c r="M709" s="14" t="e">
        <v>#N/A</v>
      </c>
    </row>
    <row r="710" spans="5:13">
      <c r="E710" s="13" t="e">
        <v>#N/A</v>
      </c>
      <c r="F710" s="13" t="e">
        <v>#N/A</v>
      </c>
      <c r="G710" s="14" t="e">
        <v>#N/A</v>
      </c>
      <c r="H710" s="14" t="e">
        <v>#N/A</v>
      </c>
      <c r="J710" s="13" t="e">
        <v>#N/A</v>
      </c>
      <c r="K710" s="13" t="e">
        <v>#N/A</v>
      </c>
      <c r="L710" s="14" t="e">
        <v>#N/A</v>
      </c>
      <c r="M710" s="14" t="e">
        <v>#N/A</v>
      </c>
    </row>
    <row r="711" spans="5:13">
      <c r="E711" s="13" t="e">
        <v>#N/A</v>
      </c>
      <c r="F711" s="13" t="e">
        <v>#N/A</v>
      </c>
      <c r="G711" s="14" t="e">
        <v>#N/A</v>
      </c>
      <c r="H711" s="14" t="e">
        <v>#N/A</v>
      </c>
      <c r="J711" s="13" t="e">
        <v>#N/A</v>
      </c>
      <c r="K711" s="13" t="e">
        <v>#N/A</v>
      </c>
      <c r="L711" s="14" t="e">
        <v>#N/A</v>
      </c>
      <c r="M711" s="14" t="e">
        <v>#N/A</v>
      </c>
    </row>
    <row r="712" spans="5:13">
      <c r="E712" s="13" t="e">
        <v>#N/A</v>
      </c>
      <c r="F712" s="13" t="e">
        <v>#N/A</v>
      </c>
      <c r="G712" s="14" t="e">
        <v>#N/A</v>
      </c>
      <c r="H712" s="14" t="e">
        <v>#N/A</v>
      </c>
      <c r="J712" s="13" t="e">
        <v>#N/A</v>
      </c>
      <c r="K712" s="13" t="e">
        <v>#N/A</v>
      </c>
      <c r="L712" s="14" t="e">
        <v>#N/A</v>
      </c>
      <c r="M712" s="14" t="e">
        <v>#N/A</v>
      </c>
    </row>
    <row r="713" spans="5:13">
      <c r="E713" s="13" t="e">
        <v>#N/A</v>
      </c>
      <c r="F713" s="13" t="e">
        <v>#N/A</v>
      </c>
      <c r="G713" s="14" t="e">
        <v>#N/A</v>
      </c>
      <c r="H713" s="14" t="e">
        <v>#N/A</v>
      </c>
      <c r="J713" s="13" t="e">
        <v>#N/A</v>
      </c>
      <c r="K713" s="13" t="e">
        <v>#N/A</v>
      </c>
      <c r="L713" s="14" t="e">
        <v>#N/A</v>
      </c>
      <c r="M713" s="14" t="e">
        <v>#N/A</v>
      </c>
    </row>
    <row r="714" spans="5:13">
      <c r="E714" s="13" t="e">
        <v>#N/A</v>
      </c>
      <c r="F714" s="13" t="e">
        <v>#N/A</v>
      </c>
      <c r="G714" s="14" t="e">
        <v>#N/A</v>
      </c>
      <c r="H714" s="14" t="e">
        <v>#N/A</v>
      </c>
      <c r="J714" s="13" t="e">
        <v>#N/A</v>
      </c>
      <c r="K714" s="13" t="e">
        <v>#N/A</v>
      </c>
      <c r="L714" s="14" t="e">
        <v>#N/A</v>
      </c>
      <c r="M714" s="14" t="e">
        <v>#N/A</v>
      </c>
    </row>
    <row r="715" spans="5:13">
      <c r="E715" s="13" t="e">
        <v>#N/A</v>
      </c>
      <c r="F715" s="13" t="e">
        <v>#N/A</v>
      </c>
      <c r="G715" s="14" t="e">
        <v>#N/A</v>
      </c>
      <c r="H715" s="14" t="e">
        <v>#N/A</v>
      </c>
      <c r="J715" s="13" t="e">
        <v>#N/A</v>
      </c>
      <c r="K715" s="13" t="e">
        <v>#N/A</v>
      </c>
      <c r="L715" s="14" t="e">
        <v>#N/A</v>
      </c>
      <c r="M715" s="14" t="e">
        <v>#N/A</v>
      </c>
    </row>
    <row r="716" spans="5:13">
      <c r="E716" s="13" t="e">
        <v>#N/A</v>
      </c>
      <c r="F716" s="13" t="e">
        <v>#N/A</v>
      </c>
      <c r="G716" s="14" t="e">
        <v>#N/A</v>
      </c>
      <c r="H716" s="14" t="e">
        <v>#N/A</v>
      </c>
      <c r="J716" s="13" t="e">
        <v>#N/A</v>
      </c>
      <c r="K716" s="13" t="e">
        <v>#N/A</v>
      </c>
      <c r="L716" s="14" t="e">
        <v>#N/A</v>
      </c>
      <c r="M716" s="14" t="e">
        <v>#N/A</v>
      </c>
    </row>
    <row r="717" spans="5:13">
      <c r="E717" s="13" t="e">
        <v>#N/A</v>
      </c>
      <c r="F717" s="13" t="e">
        <v>#N/A</v>
      </c>
      <c r="G717" s="14" t="e">
        <v>#N/A</v>
      </c>
      <c r="H717" s="14" t="e">
        <v>#N/A</v>
      </c>
      <c r="J717" s="13" t="e">
        <v>#N/A</v>
      </c>
      <c r="K717" s="13" t="e">
        <v>#N/A</v>
      </c>
      <c r="L717" s="14" t="e">
        <v>#N/A</v>
      </c>
      <c r="M717" s="14" t="e">
        <v>#N/A</v>
      </c>
    </row>
    <row r="718" spans="5:13">
      <c r="E718" s="13" t="e">
        <v>#N/A</v>
      </c>
      <c r="F718" s="13" t="e">
        <v>#N/A</v>
      </c>
      <c r="G718" s="14" t="e">
        <v>#N/A</v>
      </c>
      <c r="H718" s="14" t="e">
        <v>#N/A</v>
      </c>
      <c r="J718" s="13" t="e">
        <v>#N/A</v>
      </c>
      <c r="K718" s="13" t="e">
        <v>#N/A</v>
      </c>
      <c r="L718" s="14" t="e">
        <v>#N/A</v>
      </c>
      <c r="M718" s="14" t="e">
        <v>#N/A</v>
      </c>
    </row>
    <row r="719" spans="5:13">
      <c r="E719" s="13" t="e">
        <v>#N/A</v>
      </c>
      <c r="F719" s="13" t="e">
        <v>#N/A</v>
      </c>
      <c r="G719" s="14" t="e">
        <v>#N/A</v>
      </c>
      <c r="H719" s="14" t="e">
        <v>#N/A</v>
      </c>
      <c r="J719" s="13" t="e">
        <v>#N/A</v>
      </c>
      <c r="K719" s="13" t="e">
        <v>#N/A</v>
      </c>
      <c r="L719" s="14" t="e">
        <v>#N/A</v>
      </c>
      <c r="M719" s="14" t="e">
        <v>#N/A</v>
      </c>
    </row>
    <row r="720" spans="5:13">
      <c r="E720" s="13" t="e">
        <v>#N/A</v>
      </c>
      <c r="F720" s="13" t="e">
        <v>#N/A</v>
      </c>
      <c r="G720" s="14" t="e">
        <v>#N/A</v>
      </c>
      <c r="H720" s="14" t="e">
        <v>#N/A</v>
      </c>
      <c r="J720" s="13" t="e">
        <v>#N/A</v>
      </c>
      <c r="K720" s="13" t="e">
        <v>#N/A</v>
      </c>
      <c r="L720" s="14" t="e">
        <v>#N/A</v>
      </c>
      <c r="M720" s="14" t="e">
        <v>#N/A</v>
      </c>
    </row>
    <row r="721" spans="5:13">
      <c r="E721" s="13" t="e">
        <v>#N/A</v>
      </c>
      <c r="F721" s="13" t="e">
        <v>#N/A</v>
      </c>
      <c r="G721" s="14" t="e">
        <v>#N/A</v>
      </c>
      <c r="H721" s="14" t="e">
        <v>#N/A</v>
      </c>
      <c r="J721" s="13" t="e">
        <v>#N/A</v>
      </c>
      <c r="K721" s="13" t="e">
        <v>#N/A</v>
      </c>
      <c r="L721" s="14" t="e">
        <v>#N/A</v>
      </c>
      <c r="M721" s="14" t="e">
        <v>#N/A</v>
      </c>
    </row>
    <row r="722" spans="5:13">
      <c r="E722" s="13" t="e">
        <v>#N/A</v>
      </c>
      <c r="F722" s="13" t="e">
        <v>#N/A</v>
      </c>
      <c r="G722" s="14" t="e">
        <v>#N/A</v>
      </c>
      <c r="H722" s="14" t="e">
        <v>#N/A</v>
      </c>
      <c r="J722" s="13" t="e">
        <v>#N/A</v>
      </c>
      <c r="K722" s="13" t="e">
        <v>#N/A</v>
      </c>
      <c r="L722" s="14" t="e">
        <v>#N/A</v>
      </c>
      <c r="M722" s="14" t="e">
        <v>#N/A</v>
      </c>
    </row>
    <row r="723" spans="5:13">
      <c r="E723" s="13" t="e">
        <v>#N/A</v>
      </c>
      <c r="F723" s="13" t="e">
        <v>#N/A</v>
      </c>
      <c r="G723" s="14" t="e">
        <v>#N/A</v>
      </c>
      <c r="H723" s="14" t="e">
        <v>#N/A</v>
      </c>
      <c r="J723" s="13" t="e">
        <v>#N/A</v>
      </c>
      <c r="K723" s="13" t="e">
        <v>#N/A</v>
      </c>
      <c r="L723" s="14" t="e">
        <v>#N/A</v>
      </c>
      <c r="M723" s="14" t="e">
        <v>#N/A</v>
      </c>
    </row>
    <row r="724" spans="5:13">
      <c r="E724" s="13" t="e">
        <v>#N/A</v>
      </c>
      <c r="F724" s="13" t="e">
        <v>#N/A</v>
      </c>
      <c r="G724" s="14" t="e">
        <v>#N/A</v>
      </c>
      <c r="H724" s="14" t="e">
        <v>#N/A</v>
      </c>
      <c r="J724" s="13" t="e">
        <v>#N/A</v>
      </c>
      <c r="K724" s="13" t="e">
        <v>#N/A</v>
      </c>
      <c r="L724" s="14" t="e">
        <v>#N/A</v>
      </c>
      <c r="M724" s="14" t="e">
        <v>#N/A</v>
      </c>
    </row>
    <row r="725" spans="5:13">
      <c r="E725" s="13" t="e">
        <v>#N/A</v>
      </c>
      <c r="F725" s="13" t="e">
        <v>#N/A</v>
      </c>
      <c r="G725" s="14" t="e">
        <v>#N/A</v>
      </c>
      <c r="H725" s="14" t="e">
        <v>#N/A</v>
      </c>
      <c r="J725" s="13" t="e">
        <v>#N/A</v>
      </c>
      <c r="K725" s="13" t="e">
        <v>#N/A</v>
      </c>
      <c r="L725" s="14" t="e">
        <v>#N/A</v>
      </c>
      <c r="M725" s="14" t="e">
        <v>#N/A</v>
      </c>
    </row>
    <row r="726" spans="5:13">
      <c r="E726" s="13" t="e">
        <v>#N/A</v>
      </c>
      <c r="F726" s="13" t="e">
        <v>#N/A</v>
      </c>
      <c r="G726" s="14" t="e">
        <v>#N/A</v>
      </c>
      <c r="H726" s="14" t="e">
        <v>#N/A</v>
      </c>
      <c r="J726" s="13" t="e">
        <v>#N/A</v>
      </c>
      <c r="K726" s="13" t="e">
        <v>#N/A</v>
      </c>
      <c r="L726" s="14" t="e">
        <v>#N/A</v>
      </c>
      <c r="M726" s="14" t="e">
        <v>#N/A</v>
      </c>
    </row>
    <row r="727" spans="5:13">
      <c r="E727" s="13" t="e">
        <v>#N/A</v>
      </c>
      <c r="F727" s="13" t="e">
        <v>#N/A</v>
      </c>
      <c r="G727" s="14" t="e">
        <v>#N/A</v>
      </c>
      <c r="H727" s="14" t="e">
        <v>#N/A</v>
      </c>
      <c r="J727" s="13" t="e">
        <v>#N/A</v>
      </c>
      <c r="K727" s="13" t="e">
        <v>#N/A</v>
      </c>
      <c r="L727" s="14" t="e">
        <v>#N/A</v>
      </c>
      <c r="M727" s="14" t="e">
        <v>#N/A</v>
      </c>
    </row>
    <row r="728" spans="5:13">
      <c r="E728" s="13" t="e">
        <v>#N/A</v>
      </c>
      <c r="F728" s="13" t="e">
        <v>#N/A</v>
      </c>
      <c r="G728" s="14" t="e">
        <v>#N/A</v>
      </c>
      <c r="H728" s="14" t="e">
        <v>#N/A</v>
      </c>
      <c r="J728" s="13" t="e">
        <v>#N/A</v>
      </c>
      <c r="K728" s="13" t="e">
        <v>#N/A</v>
      </c>
      <c r="L728" s="14" t="e">
        <v>#N/A</v>
      </c>
      <c r="M728" s="14" t="e">
        <v>#N/A</v>
      </c>
    </row>
    <row r="729" spans="5:13">
      <c r="E729" s="13" t="e">
        <v>#N/A</v>
      </c>
      <c r="F729" s="13" t="e">
        <v>#N/A</v>
      </c>
      <c r="G729" s="14" t="e">
        <v>#N/A</v>
      </c>
      <c r="H729" s="14" t="e">
        <v>#N/A</v>
      </c>
      <c r="J729" s="13" t="e">
        <v>#N/A</v>
      </c>
      <c r="K729" s="13" t="e">
        <v>#N/A</v>
      </c>
      <c r="L729" s="14" t="e">
        <v>#N/A</v>
      </c>
      <c r="M729" s="14" t="e">
        <v>#N/A</v>
      </c>
    </row>
    <row r="730" spans="5:13">
      <c r="E730" s="13" t="e">
        <v>#N/A</v>
      </c>
      <c r="F730" s="13" t="e">
        <v>#N/A</v>
      </c>
      <c r="G730" s="14" t="e">
        <v>#N/A</v>
      </c>
      <c r="H730" s="14" t="e">
        <v>#N/A</v>
      </c>
      <c r="J730" s="13" t="e">
        <v>#N/A</v>
      </c>
      <c r="K730" s="13" t="e">
        <v>#N/A</v>
      </c>
      <c r="L730" s="14" t="e">
        <v>#N/A</v>
      </c>
      <c r="M730" s="14" t="e">
        <v>#N/A</v>
      </c>
    </row>
    <row r="731" spans="5:13">
      <c r="E731" s="13" t="e">
        <v>#N/A</v>
      </c>
      <c r="F731" s="13" t="e">
        <v>#N/A</v>
      </c>
      <c r="G731" s="14" t="e">
        <v>#N/A</v>
      </c>
      <c r="H731" s="14" t="e">
        <v>#N/A</v>
      </c>
      <c r="J731" s="13" t="e">
        <v>#N/A</v>
      </c>
      <c r="K731" s="13" t="e">
        <v>#N/A</v>
      </c>
      <c r="L731" s="14" t="e">
        <v>#N/A</v>
      </c>
      <c r="M731" s="14" t="e">
        <v>#N/A</v>
      </c>
    </row>
    <row r="732" spans="5:13">
      <c r="E732" s="13" t="e">
        <v>#N/A</v>
      </c>
      <c r="F732" s="13" t="e">
        <v>#N/A</v>
      </c>
      <c r="G732" s="14" t="e">
        <v>#N/A</v>
      </c>
      <c r="H732" s="14" t="e">
        <v>#N/A</v>
      </c>
      <c r="J732" s="13" t="e">
        <v>#N/A</v>
      </c>
      <c r="K732" s="13" t="e">
        <v>#N/A</v>
      </c>
      <c r="L732" s="14" t="e">
        <v>#N/A</v>
      </c>
      <c r="M732" s="14" t="e">
        <v>#N/A</v>
      </c>
    </row>
    <row r="733" spans="5:13">
      <c r="E733" s="13" t="e">
        <v>#N/A</v>
      </c>
      <c r="F733" s="13" t="e">
        <v>#N/A</v>
      </c>
      <c r="G733" s="14" t="e">
        <v>#N/A</v>
      </c>
      <c r="H733" s="14" t="e">
        <v>#N/A</v>
      </c>
      <c r="J733" s="13" t="e">
        <v>#N/A</v>
      </c>
      <c r="K733" s="13" t="e">
        <v>#N/A</v>
      </c>
      <c r="L733" s="14" t="e">
        <v>#N/A</v>
      </c>
      <c r="M733" s="14" t="e">
        <v>#N/A</v>
      </c>
    </row>
    <row r="734" spans="5:13">
      <c r="E734" s="13" t="e">
        <v>#N/A</v>
      </c>
      <c r="F734" s="13" t="e">
        <v>#N/A</v>
      </c>
      <c r="G734" s="14" t="e">
        <v>#N/A</v>
      </c>
      <c r="H734" s="14" t="e">
        <v>#N/A</v>
      </c>
      <c r="J734" s="13" t="e">
        <v>#N/A</v>
      </c>
      <c r="K734" s="13" t="e">
        <v>#N/A</v>
      </c>
      <c r="L734" s="14" t="e">
        <v>#N/A</v>
      </c>
      <c r="M734" s="14" t="e">
        <v>#N/A</v>
      </c>
    </row>
    <row r="735" spans="5:13">
      <c r="E735" s="13" t="e">
        <v>#N/A</v>
      </c>
      <c r="F735" s="13" t="e">
        <v>#N/A</v>
      </c>
      <c r="G735" s="14" t="e">
        <v>#N/A</v>
      </c>
      <c r="H735" s="14" t="e">
        <v>#N/A</v>
      </c>
      <c r="J735" s="13" t="e">
        <v>#N/A</v>
      </c>
      <c r="K735" s="13" t="e">
        <v>#N/A</v>
      </c>
      <c r="L735" s="14" t="e">
        <v>#N/A</v>
      </c>
      <c r="M735" s="14" t="e">
        <v>#N/A</v>
      </c>
    </row>
    <row r="736" spans="5:13">
      <c r="E736" s="13" t="e">
        <v>#N/A</v>
      </c>
      <c r="F736" s="13" t="e">
        <v>#N/A</v>
      </c>
      <c r="G736" s="14" t="e">
        <v>#N/A</v>
      </c>
      <c r="H736" s="14" t="e">
        <v>#N/A</v>
      </c>
      <c r="J736" s="13" t="e">
        <v>#N/A</v>
      </c>
      <c r="K736" s="13" t="e">
        <v>#N/A</v>
      </c>
      <c r="L736" s="14" t="e">
        <v>#N/A</v>
      </c>
      <c r="M736" s="14" t="e">
        <v>#N/A</v>
      </c>
    </row>
    <row r="737" spans="5:13">
      <c r="E737" s="13" t="e">
        <v>#N/A</v>
      </c>
      <c r="F737" s="13" t="e">
        <v>#N/A</v>
      </c>
      <c r="G737" s="14" t="e">
        <v>#N/A</v>
      </c>
      <c r="H737" s="14" t="e">
        <v>#N/A</v>
      </c>
      <c r="J737" s="13" t="e">
        <v>#N/A</v>
      </c>
      <c r="K737" s="13" t="e">
        <v>#N/A</v>
      </c>
      <c r="L737" s="14" t="e">
        <v>#N/A</v>
      </c>
      <c r="M737" s="14" t="e">
        <v>#N/A</v>
      </c>
    </row>
    <row r="738" spans="5:13">
      <c r="E738" s="13" t="e">
        <v>#N/A</v>
      </c>
      <c r="F738" s="13" t="e">
        <v>#N/A</v>
      </c>
      <c r="G738" s="14" t="e">
        <v>#N/A</v>
      </c>
      <c r="H738" s="14" t="e">
        <v>#N/A</v>
      </c>
      <c r="J738" s="13" t="e">
        <v>#N/A</v>
      </c>
      <c r="K738" s="13" t="e">
        <v>#N/A</v>
      </c>
      <c r="L738" s="14" t="e">
        <v>#N/A</v>
      </c>
      <c r="M738" s="14" t="e">
        <v>#N/A</v>
      </c>
    </row>
    <row r="739" spans="5:13">
      <c r="E739" s="13" t="e">
        <v>#N/A</v>
      </c>
      <c r="F739" s="13" t="e">
        <v>#N/A</v>
      </c>
      <c r="G739" s="14" t="e">
        <v>#N/A</v>
      </c>
      <c r="H739" s="14" t="e">
        <v>#N/A</v>
      </c>
      <c r="J739" s="13" t="e">
        <v>#N/A</v>
      </c>
      <c r="K739" s="13" t="e">
        <v>#N/A</v>
      </c>
      <c r="L739" s="14" t="e">
        <v>#N/A</v>
      </c>
      <c r="M739" s="14" t="e">
        <v>#N/A</v>
      </c>
    </row>
    <row r="740" spans="5:13">
      <c r="E740" s="13" t="e">
        <v>#N/A</v>
      </c>
      <c r="F740" s="13" t="e">
        <v>#N/A</v>
      </c>
      <c r="G740" s="14" t="e">
        <v>#N/A</v>
      </c>
      <c r="H740" s="14" t="e">
        <v>#N/A</v>
      </c>
      <c r="J740" s="13" t="e">
        <v>#N/A</v>
      </c>
      <c r="K740" s="13" t="e">
        <v>#N/A</v>
      </c>
      <c r="L740" s="14" t="e">
        <v>#N/A</v>
      </c>
      <c r="M740" s="14" t="e">
        <v>#N/A</v>
      </c>
    </row>
    <row r="741" spans="5:13">
      <c r="E741" s="13" t="e">
        <v>#N/A</v>
      </c>
      <c r="F741" s="13" t="e">
        <v>#N/A</v>
      </c>
      <c r="G741" s="14" t="e">
        <v>#N/A</v>
      </c>
      <c r="H741" s="14" t="e">
        <v>#N/A</v>
      </c>
      <c r="J741" s="13" t="e">
        <v>#N/A</v>
      </c>
      <c r="K741" s="13" t="e">
        <v>#N/A</v>
      </c>
      <c r="L741" s="14" t="e">
        <v>#N/A</v>
      </c>
      <c r="M741" s="14" t="e">
        <v>#N/A</v>
      </c>
    </row>
    <row r="742" spans="5:13">
      <c r="E742" s="13" t="e">
        <v>#N/A</v>
      </c>
      <c r="F742" s="13" t="e">
        <v>#N/A</v>
      </c>
      <c r="G742" s="14" t="e">
        <v>#N/A</v>
      </c>
      <c r="H742" s="14" t="e">
        <v>#N/A</v>
      </c>
      <c r="J742" s="13" t="e">
        <v>#N/A</v>
      </c>
      <c r="K742" s="13" t="e">
        <v>#N/A</v>
      </c>
      <c r="L742" s="14" t="e">
        <v>#N/A</v>
      </c>
      <c r="M742" s="14" t="e">
        <v>#N/A</v>
      </c>
    </row>
    <row r="743" spans="5:13">
      <c r="E743" s="13" t="e">
        <v>#N/A</v>
      </c>
      <c r="F743" s="13" t="e">
        <v>#N/A</v>
      </c>
      <c r="G743" s="14" t="e">
        <v>#N/A</v>
      </c>
      <c r="H743" s="14" t="e">
        <v>#N/A</v>
      </c>
      <c r="J743" s="13" t="e">
        <v>#N/A</v>
      </c>
      <c r="K743" s="13" t="e">
        <v>#N/A</v>
      </c>
      <c r="L743" s="14" t="e">
        <v>#N/A</v>
      </c>
      <c r="M743" s="14" t="e">
        <v>#N/A</v>
      </c>
    </row>
    <row r="744" spans="5:13">
      <c r="E744" s="13" t="e">
        <v>#N/A</v>
      </c>
      <c r="F744" s="13" t="e">
        <v>#N/A</v>
      </c>
      <c r="G744" s="14" t="e">
        <v>#N/A</v>
      </c>
      <c r="H744" s="14" t="e">
        <v>#N/A</v>
      </c>
      <c r="J744" s="13" t="e">
        <v>#N/A</v>
      </c>
      <c r="K744" s="13" t="e">
        <v>#N/A</v>
      </c>
      <c r="L744" s="14" t="e">
        <v>#N/A</v>
      </c>
      <c r="M744" s="14" t="e">
        <v>#N/A</v>
      </c>
    </row>
    <row r="745" spans="5:13">
      <c r="E745" s="13" t="e">
        <v>#N/A</v>
      </c>
      <c r="F745" s="13" t="e">
        <v>#N/A</v>
      </c>
      <c r="G745" s="14" t="e">
        <v>#N/A</v>
      </c>
      <c r="H745" s="14" t="e">
        <v>#N/A</v>
      </c>
      <c r="J745" s="13" t="e">
        <v>#N/A</v>
      </c>
      <c r="K745" s="13" t="e">
        <v>#N/A</v>
      </c>
      <c r="L745" s="14" t="e">
        <v>#N/A</v>
      </c>
      <c r="M745" s="14" t="e">
        <v>#N/A</v>
      </c>
    </row>
    <row r="746" spans="5:13">
      <c r="E746" s="13" t="e">
        <v>#N/A</v>
      </c>
      <c r="F746" s="13" t="e">
        <v>#N/A</v>
      </c>
      <c r="G746" s="14" t="e">
        <v>#N/A</v>
      </c>
      <c r="H746" s="14" t="e">
        <v>#N/A</v>
      </c>
      <c r="J746" s="13" t="e">
        <v>#N/A</v>
      </c>
      <c r="K746" s="13" t="e">
        <v>#N/A</v>
      </c>
      <c r="L746" s="14" t="e">
        <v>#N/A</v>
      </c>
      <c r="M746" s="14" t="e">
        <v>#N/A</v>
      </c>
    </row>
    <row r="747" spans="5:13">
      <c r="E747" s="13" t="e">
        <v>#N/A</v>
      </c>
      <c r="F747" s="13" t="e">
        <v>#N/A</v>
      </c>
      <c r="G747" s="14" t="e">
        <v>#N/A</v>
      </c>
      <c r="H747" s="14" t="e">
        <v>#N/A</v>
      </c>
      <c r="J747" s="13" t="e">
        <v>#N/A</v>
      </c>
      <c r="K747" s="13" t="e">
        <v>#N/A</v>
      </c>
      <c r="L747" s="14" t="e">
        <v>#N/A</v>
      </c>
      <c r="M747" s="14" t="e">
        <v>#N/A</v>
      </c>
    </row>
    <row r="748" spans="5:13">
      <c r="E748" s="13" t="e">
        <v>#N/A</v>
      </c>
      <c r="F748" s="13" t="e">
        <v>#N/A</v>
      </c>
      <c r="G748" s="14" t="e">
        <v>#N/A</v>
      </c>
      <c r="H748" s="14" t="e">
        <v>#N/A</v>
      </c>
      <c r="J748" s="13" t="e">
        <v>#N/A</v>
      </c>
      <c r="K748" s="13" t="e">
        <v>#N/A</v>
      </c>
      <c r="L748" s="14" t="e">
        <v>#N/A</v>
      </c>
      <c r="M748" s="14" t="e">
        <v>#N/A</v>
      </c>
    </row>
    <row r="749" spans="5:13">
      <c r="E749" s="13" t="e">
        <v>#N/A</v>
      </c>
      <c r="F749" s="13" t="e">
        <v>#N/A</v>
      </c>
      <c r="G749" s="14" t="e">
        <v>#N/A</v>
      </c>
      <c r="H749" s="14" t="e">
        <v>#N/A</v>
      </c>
      <c r="J749" s="13" t="e">
        <v>#N/A</v>
      </c>
      <c r="K749" s="13" t="e">
        <v>#N/A</v>
      </c>
      <c r="L749" s="14" t="e">
        <v>#N/A</v>
      </c>
      <c r="M749" s="14" t="e">
        <v>#N/A</v>
      </c>
    </row>
    <row r="750" spans="5:13">
      <c r="E750" s="13" t="e">
        <v>#N/A</v>
      </c>
      <c r="F750" s="13" t="e">
        <v>#N/A</v>
      </c>
      <c r="G750" s="14" t="e">
        <v>#N/A</v>
      </c>
      <c r="H750" s="14" t="e">
        <v>#N/A</v>
      </c>
      <c r="J750" s="13" t="e">
        <v>#N/A</v>
      </c>
      <c r="K750" s="13" t="e">
        <v>#N/A</v>
      </c>
      <c r="L750" s="14" t="e">
        <v>#N/A</v>
      </c>
      <c r="M750" s="14" t="e">
        <v>#N/A</v>
      </c>
    </row>
    <row r="751" spans="5:13">
      <c r="E751" s="13" t="e">
        <v>#N/A</v>
      </c>
      <c r="F751" s="13" t="e">
        <v>#N/A</v>
      </c>
      <c r="G751" s="14" t="e">
        <v>#N/A</v>
      </c>
      <c r="H751" s="14" t="e">
        <v>#N/A</v>
      </c>
      <c r="J751" s="13" t="e">
        <v>#N/A</v>
      </c>
      <c r="K751" s="13" t="e">
        <v>#N/A</v>
      </c>
      <c r="L751" s="14" t="e">
        <v>#N/A</v>
      </c>
      <c r="M751" s="14" t="e">
        <v>#N/A</v>
      </c>
    </row>
    <row r="752" spans="5:13">
      <c r="E752" s="13" t="e">
        <v>#N/A</v>
      </c>
      <c r="F752" s="13" t="e">
        <v>#N/A</v>
      </c>
      <c r="G752" s="14" t="e">
        <v>#N/A</v>
      </c>
      <c r="H752" s="14" t="e">
        <v>#N/A</v>
      </c>
      <c r="J752" s="13" t="e">
        <v>#N/A</v>
      </c>
      <c r="K752" s="13" t="e">
        <v>#N/A</v>
      </c>
      <c r="L752" s="14" t="e">
        <v>#N/A</v>
      </c>
      <c r="M752" s="14" t="e">
        <v>#N/A</v>
      </c>
    </row>
    <row r="753" spans="5:13">
      <c r="E753" s="13" t="e">
        <v>#N/A</v>
      </c>
      <c r="F753" s="13" t="e">
        <v>#N/A</v>
      </c>
      <c r="G753" s="14" t="e">
        <v>#N/A</v>
      </c>
      <c r="H753" s="14" t="e">
        <v>#N/A</v>
      </c>
      <c r="J753" s="13" t="e">
        <v>#N/A</v>
      </c>
      <c r="K753" s="13" t="e">
        <v>#N/A</v>
      </c>
      <c r="L753" s="14" t="e">
        <v>#N/A</v>
      </c>
      <c r="M753" s="14" t="e">
        <v>#N/A</v>
      </c>
    </row>
    <row r="754" spans="5:13">
      <c r="E754" s="13" t="e">
        <v>#N/A</v>
      </c>
      <c r="F754" s="13" t="e">
        <v>#N/A</v>
      </c>
      <c r="G754" s="14" t="e">
        <v>#N/A</v>
      </c>
      <c r="H754" s="14" t="e">
        <v>#N/A</v>
      </c>
      <c r="J754" s="13" t="e">
        <v>#N/A</v>
      </c>
      <c r="K754" s="13" t="e">
        <v>#N/A</v>
      </c>
      <c r="L754" s="14" t="e">
        <v>#N/A</v>
      </c>
      <c r="M754" s="14" t="e">
        <v>#N/A</v>
      </c>
    </row>
    <row r="755" spans="5:13">
      <c r="E755" s="13" t="e">
        <v>#N/A</v>
      </c>
      <c r="F755" s="13" t="e">
        <v>#N/A</v>
      </c>
      <c r="G755" s="14" t="e">
        <v>#N/A</v>
      </c>
      <c r="H755" s="14" t="e">
        <v>#N/A</v>
      </c>
      <c r="J755" s="13" t="e">
        <v>#N/A</v>
      </c>
      <c r="K755" s="13" t="e">
        <v>#N/A</v>
      </c>
      <c r="L755" s="14" t="e">
        <v>#N/A</v>
      </c>
      <c r="M755" s="14" t="e">
        <v>#N/A</v>
      </c>
    </row>
    <row r="756" spans="5:13">
      <c r="E756" s="13" t="e">
        <v>#N/A</v>
      </c>
      <c r="F756" s="13" t="e">
        <v>#N/A</v>
      </c>
      <c r="G756" s="14" t="e">
        <v>#N/A</v>
      </c>
      <c r="H756" s="14" t="e">
        <v>#N/A</v>
      </c>
      <c r="J756" s="13" t="e">
        <v>#N/A</v>
      </c>
      <c r="K756" s="13" t="e">
        <v>#N/A</v>
      </c>
      <c r="L756" s="14" t="e">
        <v>#N/A</v>
      </c>
      <c r="M756" s="14" t="e">
        <v>#N/A</v>
      </c>
    </row>
    <row r="757" spans="5:13">
      <c r="E757" s="13" t="e">
        <v>#N/A</v>
      </c>
      <c r="F757" s="13" t="e">
        <v>#N/A</v>
      </c>
      <c r="G757" s="14" t="e">
        <v>#N/A</v>
      </c>
      <c r="H757" s="14" t="e">
        <v>#N/A</v>
      </c>
      <c r="J757" s="13" t="e">
        <v>#N/A</v>
      </c>
      <c r="K757" s="13" t="e">
        <v>#N/A</v>
      </c>
      <c r="L757" s="14" t="e">
        <v>#N/A</v>
      </c>
      <c r="M757" s="14" t="e">
        <v>#N/A</v>
      </c>
    </row>
    <row r="758" spans="5:13">
      <c r="E758" s="13" t="e">
        <v>#N/A</v>
      </c>
      <c r="F758" s="13" t="e">
        <v>#N/A</v>
      </c>
      <c r="G758" s="14" t="e">
        <v>#N/A</v>
      </c>
      <c r="H758" s="14" t="e">
        <v>#N/A</v>
      </c>
      <c r="J758" s="13" t="e">
        <v>#N/A</v>
      </c>
      <c r="K758" s="13" t="e">
        <v>#N/A</v>
      </c>
      <c r="L758" s="14" t="e">
        <v>#N/A</v>
      </c>
      <c r="M758" s="14" t="e">
        <v>#N/A</v>
      </c>
    </row>
    <row r="759" spans="5:13">
      <c r="E759" s="13" t="e">
        <v>#N/A</v>
      </c>
      <c r="F759" s="13" t="e">
        <v>#N/A</v>
      </c>
      <c r="G759" s="14" t="e">
        <v>#N/A</v>
      </c>
      <c r="H759" s="14" t="e">
        <v>#N/A</v>
      </c>
      <c r="J759" s="13" t="e">
        <v>#N/A</v>
      </c>
      <c r="K759" s="13" t="e">
        <v>#N/A</v>
      </c>
      <c r="L759" s="14" t="e">
        <v>#N/A</v>
      </c>
      <c r="M759" s="14" t="e">
        <v>#N/A</v>
      </c>
    </row>
    <row r="760" spans="5:13">
      <c r="E760" s="13" t="e">
        <v>#N/A</v>
      </c>
      <c r="F760" s="13" t="e">
        <v>#N/A</v>
      </c>
      <c r="G760" s="14" t="e">
        <v>#N/A</v>
      </c>
      <c r="H760" s="14" t="e">
        <v>#N/A</v>
      </c>
      <c r="J760" s="13" t="e">
        <v>#N/A</v>
      </c>
      <c r="K760" s="13" t="e">
        <v>#N/A</v>
      </c>
      <c r="L760" s="14" t="e">
        <v>#N/A</v>
      </c>
      <c r="M760" s="14" t="e">
        <v>#N/A</v>
      </c>
    </row>
    <row r="761" spans="5:13">
      <c r="E761" s="13" t="e">
        <v>#N/A</v>
      </c>
      <c r="F761" s="13" t="e">
        <v>#N/A</v>
      </c>
      <c r="G761" s="14" t="e">
        <v>#N/A</v>
      </c>
      <c r="H761" s="14" t="e">
        <v>#N/A</v>
      </c>
      <c r="J761" s="13" t="e">
        <v>#N/A</v>
      </c>
      <c r="K761" s="13" t="e">
        <v>#N/A</v>
      </c>
      <c r="L761" s="14" t="e">
        <v>#N/A</v>
      </c>
      <c r="M761" s="14" t="e">
        <v>#N/A</v>
      </c>
    </row>
    <row r="762" spans="5:13">
      <c r="E762" s="13" t="e">
        <v>#N/A</v>
      </c>
      <c r="F762" s="13" t="e">
        <v>#N/A</v>
      </c>
      <c r="G762" s="14" t="e">
        <v>#N/A</v>
      </c>
      <c r="H762" s="14" t="e">
        <v>#N/A</v>
      </c>
      <c r="J762" s="13" t="e">
        <v>#N/A</v>
      </c>
      <c r="K762" s="13" t="e">
        <v>#N/A</v>
      </c>
      <c r="L762" s="14" t="e">
        <v>#N/A</v>
      </c>
      <c r="M762" s="14" t="e">
        <v>#N/A</v>
      </c>
    </row>
    <row r="763" spans="5:13">
      <c r="E763" s="13" t="e">
        <v>#N/A</v>
      </c>
      <c r="F763" s="13" t="e">
        <v>#N/A</v>
      </c>
      <c r="G763" s="14" t="e">
        <v>#N/A</v>
      </c>
      <c r="H763" s="14" t="e">
        <v>#N/A</v>
      </c>
      <c r="J763" s="13" t="e">
        <v>#N/A</v>
      </c>
      <c r="K763" s="13" t="e">
        <v>#N/A</v>
      </c>
      <c r="L763" s="14" t="e">
        <v>#N/A</v>
      </c>
      <c r="M763" s="14" t="e">
        <v>#N/A</v>
      </c>
    </row>
    <row r="764" spans="5:13">
      <c r="E764" s="13" t="e">
        <v>#N/A</v>
      </c>
      <c r="F764" s="13" t="e">
        <v>#N/A</v>
      </c>
      <c r="G764" s="14" t="e">
        <v>#N/A</v>
      </c>
      <c r="H764" s="14" t="e">
        <v>#N/A</v>
      </c>
      <c r="J764" s="13" t="e">
        <v>#N/A</v>
      </c>
      <c r="K764" s="13" t="e">
        <v>#N/A</v>
      </c>
      <c r="L764" s="14" t="e">
        <v>#N/A</v>
      </c>
      <c r="M764" s="14" t="e">
        <v>#N/A</v>
      </c>
    </row>
    <row r="765" spans="5:13">
      <c r="E765" s="13" t="e">
        <v>#N/A</v>
      </c>
      <c r="F765" s="13" t="e">
        <v>#N/A</v>
      </c>
      <c r="G765" s="14" t="e">
        <v>#N/A</v>
      </c>
      <c r="H765" s="14" t="e">
        <v>#N/A</v>
      </c>
      <c r="J765" s="13" t="e">
        <v>#N/A</v>
      </c>
      <c r="K765" s="13" t="e">
        <v>#N/A</v>
      </c>
      <c r="L765" s="14" t="e">
        <v>#N/A</v>
      </c>
      <c r="M765" s="14" t="e">
        <v>#N/A</v>
      </c>
    </row>
    <row r="766" spans="5:13">
      <c r="E766" s="13" t="e">
        <v>#N/A</v>
      </c>
      <c r="F766" s="13" t="e">
        <v>#N/A</v>
      </c>
      <c r="G766" s="14" t="e">
        <v>#N/A</v>
      </c>
      <c r="H766" s="14" t="e">
        <v>#N/A</v>
      </c>
      <c r="J766" s="13" t="e">
        <v>#N/A</v>
      </c>
      <c r="K766" s="13" t="e">
        <v>#N/A</v>
      </c>
      <c r="L766" s="14" t="e">
        <v>#N/A</v>
      </c>
      <c r="M766" s="14" t="e">
        <v>#N/A</v>
      </c>
    </row>
    <row r="767" spans="5:13">
      <c r="E767" s="13" t="e">
        <v>#N/A</v>
      </c>
      <c r="F767" s="13" t="e">
        <v>#N/A</v>
      </c>
      <c r="G767" s="14" t="e">
        <v>#N/A</v>
      </c>
      <c r="H767" s="14" t="e">
        <v>#N/A</v>
      </c>
      <c r="J767" s="13" t="e">
        <v>#N/A</v>
      </c>
      <c r="K767" s="13" t="e">
        <v>#N/A</v>
      </c>
      <c r="L767" s="14" t="e">
        <v>#N/A</v>
      </c>
      <c r="M767" s="14" t="e">
        <v>#N/A</v>
      </c>
    </row>
    <row r="768" spans="5:13">
      <c r="E768" s="13" t="e">
        <v>#N/A</v>
      </c>
      <c r="F768" s="13" t="e">
        <v>#N/A</v>
      </c>
      <c r="G768" s="14" t="e">
        <v>#N/A</v>
      </c>
      <c r="H768" s="14" t="e">
        <v>#N/A</v>
      </c>
      <c r="J768" s="13" t="e">
        <v>#N/A</v>
      </c>
      <c r="K768" s="13" t="e">
        <v>#N/A</v>
      </c>
      <c r="L768" s="14" t="e">
        <v>#N/A</v>
      </c>
      <c r="M768" s="14" t="e">
        <v>#N/A</v>
      </c>
    </row>
    <row r="769" spans="5:13">
      <c r="E769" s="13" t="e">
        <v>#N/A</v>
      </c>
      <c r="F769" s="13" t="e">
        <v>#N/A</v>
      </c>
      <c r="G769" s="14" t="e">
        <v>#N/A</v>
      </c>
      <c r="H769" s="14" t="e">
        <v>#N/A</v>
      </c>
      <c r="J769" s="13" t="e">
        <v>#N/A</v>
      </c>
      <c r="K769" s="13" t="e">
        <v>#N/A</v>
      </c>
      <c r="L769" s="14" t="e">
        <v>#N/A</v>
      </c>
      <c r="M769" s="14" t="e">
        <v>#N/A</v>
      </c>
    </row>
    <row r="770" spans="5:13">
      <c r="E770" s="13" t="e">
        <v>#N/A</v>
      </c>
      <c r="F770" s="13" t="e">
        <v>#N/A</v>
      </c>
      <c r="G770" s="14" t="e">
        <v>#N/A</v>
      </c>
      <c r="H770" s="14" t="e">
        <v>#N/A</v>
      </c>
      <c r="J770" s="13" t="e">
        <v>#N/A</v>
      </c>
      <c r="K770" s="13" t="e">
        <v>#N/A</v>
      </c>
      <c r="L770" s="14" t="e">
        <v>#N/A</v>
      </c>
      <c r="M770" s="14" t="e">
        <v>#N/A</v>
      </c>
    </row>
    <row r="771" spans="5:13">
      <c r="E771" s="13" t="e">
        <v>#N/A</v>
      </c>
      <c r="F771" s="13" t="e">
        <v>#N/A</v>
      </c>
      <c r="G771" s="14" t="e">
        <v>#N/A</v>
      </c>
      <c r="H771" s="14" t="e">
        <v>#N/A</v>
      </c>
      <c r="J771" s="13" t="e">
        <v>#N/A</v>
      </c>
      <c r="K771" s="13" t="e">
        <v>#N/A</v>
      </c>
      <c r="L771" s="14" t="e">
        <v>#N/A</v>
      </c>
      <c r="M771" s="14" t="e">
        <v>#N/A</v>
      </c>
    </row>
    <row r="772" spans="5:13">
      <c r="E772" s="13" t="e">
        <v>#N/A</v>
      </c>
      <c r="F772" s="13" t="e">
        <v>#N/A</v>
      </c>
      <c r="G772" s="14" t="e">
        <v>#N/A</v>
      </c>
      <c r="H772" s="14" t="e">
        <v>#N/A</v>
      </c>
      <c r="J772" s="13" t="e">
        <v>#N/A</v>
      </c>
      <c r="K772" s="13" t="e">
        <v>#N/A</v>
      </c>
      <c r="L772" s="14" t="e">
        <v>#N/A</v>
      </c>
      <c r="M772" s="14" t="e">
        <v>#N/A</v>
      </c>
    </row>
    <row r="773" spans="5:13">
      <c r="E773" s="13" t="e">
        <v>#N/A</v>
      </c>
      <c r="F773" s="13" t="e">
        <v>#N/A</v>
      </c>
      <c r="G773" s="14" t="e">
        <v>#N/A</v>
      </c>
      <c r="H773" s="14" t="e">
        <v>#N/A</v>
      </c>
      <c r="J773" s="13" t="e">
        <v>#N/A</v>
      </c>
      <c r="K773" s="13" t="e">
        <v>#N/A</v>
      </c>
      <c r="L773" s="14" t="e">
        <v>#N/A</v>
      </c>
      <c r="M773" s="14" t="e">
        <v>#N/A</v>
      </c>
    </row>
    <row r="774" spans="5:13">
      <c r="E774" s="13" t="e">
        <v>#N/A</v>
      </c>
      <c r="F774" s="13" t="e">
        <v>#N/A</v>
      </c>
      <c r="G774" s="14" t="e">
        <v>#N/A</v>
      </c>
      <c r="H774" s="14" t="e">
        <v>#N/A</v>
      </c>
      <c r="J774" s="13" t="e">
        <v>#N/A</v>
      </c>
      <c r="K774" s="13" t="e">
        <v>#N/A</v>
      </c>
      <c r="L774" s="14" t="e">
        <v>#N/A</v>
      </c>
      <c r="M774" s="14" t="e">
        <v>#N/A</v>
      </c>
    </row>
    <row r="775" spans="5:13">
      <c r="E775" s="13" t="e">
        <v>#N/A</v>
      </c>
      <c r="F775" s="13" t="e">
        <v>#N/A</v>
      </c>
      <c r="G775" s="14" t="e">
        <v>#N/A</v>
      </c>
      <c r="H775" s="14" t="e">
        <v>#N/A</v>
      </c>
      <c r="J775" s="13" t="e">
        <v>#N/A</v>
      </c>
      <c r="K775" s="13" t="e">
        <v>#N/A</v>
      </c>
      <c r="L775" s="14" t="e">
        <v>#N/A</v>
      </c>
      <c r="M775" s="14" t="e">
        <v>#N/A</v>
      </c>
    </row>
    <row r="776" spans="5:13">
      <c r="E776" s="13" t="e">
        <v>#N/A</v>
      </c>
      <c r="F776" s="13" t="e">
        <v>#N/A</v>
      </c>
      <c r="G776" s="14" t="e">
        <v>#N/A</v>
      </c>
      <c r="H776" s="14" t="e">
        <v>#N/A</v>
      </c>
      <c r="J776" s="13" t="e">
        <v>#N/A</v>
      </c>
      <c r="K776" s="13" t="e">
        <v>#N/A</v>
      </c>
      <c r="L776" s="14" t="e">
        <v>#N/A</v>
      </c>
      <c r="M776" s="14" t="e">
        <v>#N/A</v>
      </c>
    </row>
    <row r="777" spans="5:13">
      <c r="E777" s="13" t="e">
        <v>#N/A</v>
      </c>
      <c r="F777" s="13" t="e">
        <v>#N/A</v>
      </c>
      <c r="G777" s="14" t="e">
        <v>#N/A</v>
      </c>
      <c r="H777" s="14" t="e">
        <v>#N/A</v>
      </c>
      <c r="J777" s="13" t="e">
        <v>#N/A</v>
      </c>
      <c r="K777" s="13" t="e">
        <v>#N/A</v>
      </c>
      <c r="L777" s="14" t="e">
        <v>#N/A</v>
      </c>
      <c r="M777" s="14" t="e">
        <v>#N/A</v>
      </c>
    </row>
    <row r="778" spans="5:13">
      <c r="E778" s="13" t="e">
        <v>#N/A</v>
      </c>
      <c r="F778" s="13" t="e">
        <v>#N/A</v>
      </c>
      <c r="G778" s="14" t="e">
        <v>#N/A</v>
      </c>
      <c r="H778" s="14" t="e">
        <v>#N/A</v>
      </c>
      <c r="J778" s="13" t="e">
        <v>#N/A</v>
      </c>
      <c r="K778" s="13" t="e">
        <v>#N/A</v>
      </c>
      <c r="L778" s="14" t="e">
        <v>#N/A</v>
      </c>
      <c r="M778" s="14" t="e">
        <v>#N/A</v>
      </c>
    </row>
    <row r="779" spans="5:13">
      <c r="E779" s="13" t="e">
        <v>#N/A</v>
      </c>
      <c r="F779" s="13" t="e">
        <v>#N/A</v>
      </c>
      <c r="G779" s="14" t="e">
        <v>#N/A</v>
      </c>
      <c r="H779" s="14" t="e">
        <v>#N/A</v>
      </c>
      <c r="J779" s="13" t="e">
        <v>#N/A</v>
      </c>
      <c r="K779" s="13" t="e">
        <v>#N/A</v>
      </c>
      <c r="L779" s="14" t="e">
        <v>#N/A</v>
      </c>
      <c r="M779" s="14" t="e">
        <v>#N/A</v>
      </c>
    </row>
    <row r="780" spans="5:13">
      <c r="E780" s="13" t="e">
        <v>#N/A</v>
      </c>
      <c r="F780" s="13" t="e">
        <v>#N/A</v>
      </c>
      <c r="G780" s="14" t="e">
        <v>#N/A</v>
      </c>
      <c r="H780" s="14" t="e">
        <v>#N/A</v>
      </c>
      <c r="J780" s="13" t="e">
        <v>#N/A</v>
      </c>
      <c r="K780" s="13" t="e">
        <v>#N/A</v>
      </c>
      <c r="L780" s="14" t="e">
        <v>#N/A</v>
      </c>
      <c r="M780" s="14" t="e">
        <v>#N/A</v>
      </c>
    </row>
    <row r="781" spans="5:13">
      <c r="E781" s="13" t="e">
        <v>#N/A</v>
      </c>
      <c r="F781" s="13" t="e">
        <v>#N/A</v>
      </c>
      <c r="G781" s="14" t="e">
        <v>#N/A</v>
      </c>
      <c r="H781" s="14" t="e">
        <v>#N/A</v>
      </c>
      <c r="J781" s="13" t="e">
        <v>#N/A</v>
      </c>
      <c r="K781" s="13" t="e">
        <v>#N/A</v>
      </c>
      <c r="L781" s="14" t="e">
        <v>#N/A</v>
      </c>
      <c r="M781" s="14" t="e">
        <v>#N/A</v>
      </c>
    </row>
    <row r="782" spans="5:13">
      <c r="E782" s="13" t="e">
        <v>#N/A</v>
      </c>
      <c r="F782" s="13" t="e">
        <v>#N/A</v>
      </c>
      <c r="G782" s="14" t="e">
        <v>#N/A</v>
      </c>
      <c r="H782" s="14" t="e">
        <v>#N/A</v>
      </c>
      <c r="J782" s="13" t="e">
        <v>#N/A</v>
      </c>
      <c r="K782" s="13" t="e">
        <v>#N/A</v>
      </c>
      <c r="L782" s="14" t="e">
        <v>#N/A</v>
      </c>
      <c r="M782" s="14" t="e">
        <v>#N/A</v>
      </c>
    </row>
    <row r="783" spans="5:13">
      <c r="E783" s="13" t="e">
        <v>#N/A</v>
      </c>
      <c r="F783" s="13" t="e">
        <v>#N/A</v>
      </c>
      <c r="G783" s="14" t="e">
        <v>#N/A</v>
      </c>
      <c r="H783" s="14" t="e">
        <v>#N/A</v>
      </c>
      <c r="J783" s="13" t="e">
        <v>#N/A</v>
      </c>
      <c r="K783" s="13" t="e">
        <v>#N/A</v>
      </c>
      <c r="L783" s="14" t="e">
        <v>#N/A</v>
      </c>
      <c r="M783" s="14" t="e">
        <v>#N/A</v>
      </c>
    </row>
    <row r="784" spans="5:13">
      <c r="E784" s="13" t="e">
        <v>#N/A</v>
      </c>
      <c r="F784" s="13" t="e">
        <v>#N/A</v>
      </c>
      <c r="G784" s="14" t="e">
        <v>#N/A</v>
      </c>
      <c r="H784" s="14" t="e">
        <v>#N/A</v>
      </c>
      <c r="J784" s="13" t="e">
        <v>#N/A</v>
      </c>
      <c r="K784" s="13" t="e">
        <v>#N/A</v>
      </c>
      <c r="L784" s="14" t="e">
        <v>#N/A</v>
      </c>
      <c r="M784" s="14" t="e">
        <v>#N/A</v>
      </c>
    </row>
    <row r="785" spans="5:13">
      <c r="E785" s="13" t="e">
        <v>#N/A</v>
      </c>
      <c r="F785" s="13" t="e">
        <v>#N/A</v>
      </c>
      <c r="G785" s="14" t="e">
        <v>#N/A</v>
      </c>
      <c r="H785" s="14" t="e">
        <v>#N/A</v>
      </c>
      <c r="J785" s="13" t="e">
        <v>#N/A</v>
      </c>
      <c r="K785" s="13" t="e">
        <v>#N/A</v>
      </c>
      <c r="L785" s="14" t="e">
        <v>#N/A</v>
      </c>
      <c r="M785" s="14" t="e">
        <v>#N/A</v>
      </c>
    </row>
    <row r="786" spans="5:13">
      <c r="E786" s="13" t="e">
        <v>#N/A</v>
      </c>
      <c r="F786" s="13" t="e">
        <v>#N/A</v>
      </c>
      <c r="G786" s="14" t="e">
        <v>#N/A</v>
      </c>
      <c r="H786" s="14" t="e">
        <v>#N/A</v>
      </c>
      <c r="J786" s="13" t="e">
        <v>#N/A</v>
      </c>
      <c r="K786" s="13" t="e">
        <v>#N/A</v>
      </c>
      <c r="L786" s="14" t="e">
        <v>#N/A</v>
      </c>
      <c r="M786" s="14" t="e">
        <v>#N/A</v>
      </c>
    </row>
    <row r="787" spans="5:13">
      <c r="E787" s="13" t="e">
        <v>#N/A</v>
      </c>
      <c r="F787" s="13" t="e">
        <v>#N/A</v>
      </c>
      <c r="G787" s="14" t="e">
        <v>#N/A</v>
      </c>
      <c r="H787" s="14" t="e">
        <v>#N/A</v>
      </c>
      <c r="J787" s="13" t="e">
        <v>#N/A</v>
      </c>
      <c r="K787" s="13" t="e">
        <v>#N/A</v>
      </c>
      <c r="L787" s="14" t="e">
        <v>#N/A</v>
      </c>
      <c r="M787" s="14" t="e">
        <v>#N/A</v>
      </c>
    </row>
    <row r="788" spans="5:13">
      <c r="E788" s="13" t="e">
        <v>#N/A</v>
      </c>
      <c r="F788" s="13" t="e">
        <v>#N/A</v>
      </c>
      <c r="G788" s="14" t="e">
        <v>#N/A</v>
      </c>
      <c r="H788" s="14" t="e">
        <v>#N/A</v>
      </c>
      <c r="J788" s="13" t="e">
        <v>#N/A</v>
      </c>
      <c r="K788" s="13" t="e">
        <v>#N/A</v>
      </c>
      <c r="L788" s="14" t="e">
        <v>#N/A</v>
      </c>
      <c r="M788" s="14" t="e">
        <v>#N/A</v>
      </c>
    </row>
    <row r="789" spans="5:13">
      <c r="E789" s="13" t="e">
        <v>#N/A</v>
      </c>
      <c r="F789" s="13" t="e">
        <v>#N/A</v>
      </c>
      <c r="G789" s="14" t="e">
        <v>#N/A</v>
      </c>
      <c r="H789" s="14" t="e">
        <v>#N/A</v>
      </c>
      <c r="J789" s="13" t="e">
        <v>#N/A</v>
      </c>
      <c r="K789" s="13" t="e">
        <v>#N/A</v>
      </c>
      <c r="L789" s="14" t="e">
        <v>#N/A</v>
      </c>
      <c r="M789" s="14" t="e">
        <v>#N/A</v>
      </c>
    </row>
    <row r="790" spans="5:13">
      <c r="E790" s="13" t="e">
        <v>#N/A</v>
      </c>
      <c r="F790" s="13" t="e">
        <v>#N/A</v>
      </c>
      <c r="G790" s="14" t="e">
        <v>#N/A</v>
      </c>
      <c r="H790" s="14" t="e">
        <v>#N/A</v>
      </c>
      <c r="J790" s="13" t="e">
        <v>#N/A</v>
      </c>
      <c r="K790" s="13" t="e">
        <v>#N/A</v>
      </c>
      <c r="L790" s="14" t="e">
        <v>#N/A</v>
      </c>
      <c r="M790" s="14" t="e">
        <v>#N/A</v>
      </c>
    </row>
    <row r="791" spans="5:13">
      <c r="E791" s="13" t="e">
        <v>#N/A</v>
      </c>
      <c r="F791" s="13" t="e">
        <v>#N/A</v>
      </c>
      <c r="G791" s="14" t="e">
        <v>#N/A</v>
      </c>
      <c r="H791" s="14" t="e">
        <v>#N/A</v>
      </c>
      <c r="J791" s="13" t="e">
        <v>#N/A</v>
      </c>
      <c r="K791" s="13" t="e">
        <v>#N/A</v>
      </c>
      <c r="L791" s="14" t="e">
        <v>#N/A</v>
      </c>
      <c r="M791" s="14" t="e">
        <v>#N/A</v>
      </c>
    </row>
    <row r="792" spans="5:13">
      <c r="E792" s="13" t="e">
        <v>#N/A</v>
      </c>
      <c r="F792" s="13" t="e">
        <v>#N/A</v>
      </c>
      <c r="G792" s="14" t="e">
        <v>#N/A</v>
      </c>
      <c r="H792" s="14" t="e">
        <v>#N/A</v>
      </c>
      <c r="J792" s="13" t="e">
        <v>#N/A</v>
      </c>
      <c r="K792" s="13" t="e">
        <v>#N/A</v>
      </c>
      <c r="L792" s="14" t="e">
        <v>#N/A</v>
      </c>
      <c r="M792" s="14" t="e">
        <v>#N/A</v>
      </c>
    </row>
    <row r="793" spans="5:13">
      <c r="E793" s="13" t="e">
        <v>#N/A</v>
      </c>
      <c r="F793" s="13" t="e">
        <v>#N/A</v>
      </c>
      <c r="G793" s="14" t="e">
        <v>#N/A</v>
      </c>
      <c r="H793" s="14" t="e">
        <v>#N/A</v>
      </c>
      <c r="J793" s="13" t="e">
        <v>#N/A</v>
      </c>
      <c r="K793" s="13" t="e">
        <v>#N/A</v>
      </c>
      <c r="L793" s="14" t="e">
        <v>#N/A</v>
      </c>
      <c r="M793" s="14" t="e">
        <v>#N/A</v>
      </c>
    </row>
    <row r="794" spans="5:13">
      <c r="E794" s="13" t="e">
        <v>#N/A</v>
      </c>
      <c r="F794" s="13" t="e">
        <v>#N/A</v>
      </c>
      <c r="G794" s="14" t="e">
        <v>#N/A</v>
      </c>
      <c r="H794" s="14" t="e">
        <v>#N/A</v>
      </c>
      <c r="J794" s="13" t="e">
        <v>#N/A</v>
      </c>
      <c r="K794" s="13" t="e">
        <v>#N/A</v>
      </c>
      <c r="L794" s="14" t="e">
        <v>#N/A</v>
      </c>
      <c r="M794" s="14" t="e">
        <v>#N/A</v>
      </c>
    </row>
    <row r="795" spans="5:13">
      <c r="E795" s="13" t="e">
        <v>#N/A</v>
      </c>
      <c r="F795" s="13" t="e">
        <v>#N/A</v>
      </c>
      <c r="G795" s="14" t="e">
        <v>#N/A</v>
      </c>
      <c r="H795" s="14" t="e">
        <v>#N/A</v>
      </c>
      <c r="J795" s="13" t="e">
        <v>#N/A</v>
      </c>
      <c r="K795" s="13" t="e">
        <v>#N/A</v>
      </c>
      <c r="L795" s="14" t="e">
        <v>#N/A</v>
      </c>
      <c r="M795" s="14" t="e">
        <v>#N/A</v>
      </c>
    </row>
    <row r="796" spans="5:13">
      <c r="E796" s="13" t="e">
        <v>#N/A</v>
      </c>
      <c r="F796" s="13" t="e">
        <v>#N/A</v>
      </c>
      <c r="G796" s="14" t="e">
        <v>#N/A</v>
      </c>
      <c r="H796" s="14" t="e">
        <v>#N/A</v>
      </c>
      <c r="J796" s="13" t="e">
        <v>#N/A</v>
      </c>
      <c r="K796" s="13" t="e">
        <v>#N/A</v>
      </c>
      <c r="L796" s="14" t="e">
        <v>#N/A</v>
      </c>
      <c r="M796" s="14" t="e">
        <v>#N/A</v>
      </c>
    </row>
    <row r="797" spans="5:13">
      <c r="E797" s="13" t="e">
        <v>#N/A</v>
      </c>
      <c r="F797" s="13" t="e">
        <v>#N/A</v>
      </c>
      <c r="G797" s="14" t="e">
        <v>#N/A</v>
      </c>
      <c r="H797" s="14" t="e">
        <v>#N/A</v>
      </c>
      <c r="J797" s="13" t="e">
        <v>#N/A</v>
      </c>
      <c r="K797" s="13" t="e">
        <v>#N/A</v>
      </c>
      <c r="L797" s="14" t="e">
        <v>#N/A</v>
      </c>
      <c r="M797" s="14" t="e">
        <v>#N/A</v>
      </c>
    </row>
    <row r="798" spans="5:13">
      <c r="E798" s="13" t="e">
        <v>#N/A</v>
      </c>
      <c r="F798" s="13" t="e">
        <v>#N/A</v>
      </c>
      <c r="G798" s="14" t="e">
        <v>#N/A</v>
      </c>
      <c r="H798" s="14" t="e">
        <v>#N/A</v>
      </c>
      <c r="J798" s="13" t="e">
        <v>#N/A</v>
      </c>
      <c r="K798" s="13" t="e">
        <v>#N/A</v>
      </c>
      <c r="L798" s="14" t="e">
        <v>#N/A</v>
      </c>
      <c r="M798" s="14" t="e">
        <v>#N/A</v>
      </c>
    </row>
    <row r="799" spans="5:13">
      <c r="E799" s="13" t="e">
        <v>#N/A</v>
      </c>
      <c r="F799" s="13" t="e">
        <v>#N/A</v>
      </c>
      <c r="G799" s="14" t="e">
        <v>#N/A</v>
      </c>
      <c r="H799" s="14" t="e">
        <v>#N/A</v>
      </c>
      <c r="J799" s="13" t="e">
        <v>#N/A</v>
      </c>
      <c r="K799" s="13" t="e">
        <v>#N/A</v>
      </c>
      <c r="L799" s="14" t="e">
        <v>#N/A</v>
      </c>
      <c r="M799" s="14" t="e">
        <v>#N/A</v>
      </c>
    </row>
    <row r="800" spans="5:13">
      <c r="E800" s="13" t="e">
        <v>#N/A</v>
      </c>
      <c r="F800" s="13" t="e">
        <v>#N/A</v>
      </c>
      <c r="G800" s="14" t="e">
        <v>#N/A</v>
      </c>
      <c r="H800" s="14" t="e">
        <v>#N/A</v>
      </c>
      <c r="J800" s="13" t="e">
        <v>#N/A</v>
      </c>
      <c r="K800" s="13" t="e">
        <v>#N/A</v>
      </c>
      <c r="L800" s="14" t="e">
        <v>#N/A</v>
      </c>
      <c r="M800" s="14" t="e">
        <v>#N/A</v>
      </c>
    </row>
    <row r="801" spans="5:13">
      <c r="E801" s="13" t="e">
        <v>#N/A</v>
      </c>
      <c r="F801" s="13" t="e">
        <v>#N/A</v>
      </c>
      <c r="G801" s="14" t="e">
        <v>#N/A</v>
      </c>
      <c r="H801" s="14" t="e">
        <v>#N/A</v>
      </c>
      <c r="J801" s="13" t="e">
        <v>#N/A</v>
      </c>
      <c r="K801" s="13" t="e">
        <v>#N/A</v>
      </c>
      <c r="L801" s="14" t="e">
        <v>#N/A</v>
      </c>
      <c r="M801" s="14" t="e">
        <v>#N/A</v>
      </c>
    </row>
    <row r="802" spans="5:13">
      <c r="E802" s="13" t="e">
        <v>#N/A</v>
      </c>
      <c r="F802" s="13" t="e">
        <v>#N/A</v>
      </c>
      <c r="G802" s="14" t="e">
        <v>#N/A</v>
      </c>
      <c r="H802" s="14" t="e">
        <v>#N/A</v>
      </c>
      <c r="J802" s="13" t="e">
        <v>#N/A</v>
      </c>
      <c r="K802" s="13" t="e">
        <v>#N/A</v>
      </c>
      <c r="L802" s="14" t="e">
        <v>#N/A</v>
      </c>
      <c r="M802" s="14" t="e">
        <v>#N/A</v>
      </c>
    </row>
    <row r="803" spans="5:13">
      <c r="E803" s="13" t="e">
        <v>#N/A</v>
      </c>
      <c r="F803" s="13" t="e">
        <v>#N/A</v>
      </c>
      <c r="G803" s="14" t="e">
        <v>#N/A</v>
      </c>
      <c r="H803" s="14" t="e">
        <v>#N/A</v>
      </c>
      <c r="J803" s="13" t="e">
        <v>#N/A</v>
      </c>
      <c r="K803" s="13" t="e">
        <v>#N/A</v>
      </c>
      <c r="L803" s="14" t="e">
        <v>#N/A</v>
      </c>
      <c r="M803" s="14" t="e">
        <v>#N/A</v>
      </c>
    </row>
    <row r="804" spans="5:13">
      <c r="E804" s="13" t="e">
        <v>#N/A</v>
      </c>
      <c r="F804" s="13" t="e">
        <v>#N/A</v>
      </c>
      <c r="G804" s="14" t="e">
        <v>#N/A</v>
      </c>
      <c r="H804" s="14" t="e">
        <v>#N/A</v>
      </c>
      <c r="J804" s="13" t="e">
        <v>#N/A</v>
      </c>
      <c r="K804" s="13" t="e">
        <v>#N/A</v>
      </c>
      <c r="L804" s="14" t="e">
        <v>#N/A</v>
      </c>
      <c r="M804" s="14" t="e">
        <v>#N/A</v>
      </c>
    </row>
    <row r="805" spans="5:13">
      <c r="E805" s="13" t="e">
        <v>#N/A</v>
      </c>
      <c r="F805" s="13" t="e">
        <v>#N/A</v>
      </c>
      <c r="G805" s="14" t="e">
        <v>#N/A</v>
      </c>
      <c r="H805" s="14" t="e">
        <v>#N/A</v>
      </c>
      <c r="J805" s="13" t="e">
        <v>#N/A</v>
      </c>
      <c r="K805" s="13" t="e">
        <v>#N/A</v>
      </c>
      <c r="L805" s="14" t="e">
        <v>#N/A</v>
      </c>
      <c r="M805" s="14" t="e">
        <v>#N/A</v>
      </c>
    </row>
    <row r="806" spans="5:13">
      <c r="E806" s="13" t="e">
        <v>#N/A</v>
      </c>
      <c r="F806" s="13" t="e">
        <v>#N/A</v>
      </c>
      <c r="G806" s="14" t="e">
        <v>#N/A</v>
      </c>
      <c r="H806" s="14" t="e">
        <v>#N/A</v>
      </c>
      <c r="J806" s="13" t="e">
        <v>#N/A</v>
      </c>
      <c r="K806" s="13" t="e">
        <v>#N/A</v>
      </c>
      <c r="L806" s="14" t="e">
        <v>#N/A</v>
      </c>
      <c r="M806" s="14" t="e">
        <v>#N/A</v>
      </c>
    </row>
    <row r="807" spans="5:13">
      <c r="E807" s="13" t="e">
        <v>#N/A</v>
      </c>
      <c r="F807" s="13" t="e">
        <v>#N/A</v>
      </c>
      <c r="G807" s="14" t="e">
        <v>#N/A</v>
      </c>
      <c r="H807" s="14" t="e">
        <v>#N/A</v>
      </c>
      <c r="J807" s="13" t="e">
        <v>#N/A</v>
      </c>
      <c r="K807" s="13" t="e">
        <v>#N/A</v>
      </c>
      <c r="L807" s="14" t="e">
        <v>#N/A</v>
      </c>
      <c r="M807" s="14" t="e">
        <v>#N/A</v>
      </c>
    </row>
    <row r="808" spans="5:13">
      <c r="E808" s="13" t="e">
        <v>#N/A</v>
      </c>
      <c r="F808" s="13" t="e">
        <v>#N/A</v>
      </c>
      <c r="G808" s="14" t="e">
        <v>#N/A</v>
      </c>
      <c r="H808" s="14" t="e">
        <v>#N/A</v>
      </c>
      <c r="J808" s="13" t="e">
        <v>#N/A</v>
      </c>
      <c r="K808" s="13" t="e">
        <v>#N/A</v>
      </c>
      <c r="L808" s="14" t="e">
        <v>#N/A</v>
      </c>
      <c r="M808" s="14" t="e">
        <v>#N/A</v>
      </c>
    </row>
    <row r="809" spans="5:13">
      <c r="E809" s="13" t="e">
        <v>#N/A</v>
      </c>
      <c r="F809" s="13" t="e">
        <v>#N/A</v>
      </c>
      <c r="G809" s="14" t="e">
        <v>#N/A</v>
      </c>
      <c r="H809" s="14" t="e">
        <v>#N/A</v>
      </c>
      <c r="J809" s="13" t="e">
        <v>#N/A</v>
      </c>
      <c r="K809" s="13" t="e">
        <v>#N/A</v>
      </c>
      <c r="L809" s="14" t="e">
        <v>#N/A</v>
      </c>
      <c r="M809" s="14" t="e">
        <v>#N/A</v>
      </c>
    </row>
    <row r="810" spans="5:13">
      <c r="E810" s="13" t="e">
        <v>#N/A</v>
      </c>
      <c r="F810" s="13" t="e">
        <v>#N/A</v>
      </c>
      <c r="G810" s="14" t="e">
        <v>#N/A</v>
      </c>
      <c r="H810" s="14" t="e">
        <v>#N/A</v>
      </c>
      <c r="J810" s="13" t="e">
        <v>#N/A</v>
      </c>
      <c r="K810" s="13" t="e">
        <v>#N/A</v>
      </c>
      <c r="L810" s="14" t="e">
        <v>#N/A</v>
      </c>
      <c r="M810" s="14" t="e">
        <v>#N/A</v>
      </c>
    </row>
    <row r="811" spans="5:13">
      <c r="E811" s="13" t="e">
        <v>#N/A</v>
      </c>
      <c r="F811" s="13" t="e">
        <v>#N/A</v>
      </c>
      <c r="G811" s="14" t="e">
        <v>#N/A</v>
      </c>
      <c r="H811" s="14" t="e">
        <v>#N/A</v>
      </c>
      <c r="J811" s="13" t="e">
        <v>#N/A</v>
      </c>
      <c r="K811" s="13" t="e">
        <v>#N/A</v>
      </c>
      <c r="L811" s="14" t="e">
        <v>#N/A</v>
      </c>
      <c r="M811" s="14" t="e">
        <v>#N/A</v>
      </c>
    </row>
    <row r="812" spans="5:13">
      <c r="E812" s="13" t="e">
        <v>#N/A</v>
      </c>
      <c r="F812" s="13" t="e">
        <v>#N/A</v>
      </c>
      <c r="G812" s="14" t="e">
        <v>#N/A</v>
      </c>
      <c r="H812" s="14" t="e">
        <v>#N/A</v>
      </c>
      <c r="J812" s="13" t="e">
        <v>#N/A</v>
      </c>
      <c r="K812" s="13" t="e">
        <v>#N/A</v>
      </c>
      <c r="L812" s="14" t="e">
        <v>#N/A</v>
      </c>
      <c r="M812" s="14" t="e">
        <v>#N/A</v>
      </c>
    </row>
    <row r="813" spans="5:13">
      <c r="E813" s="13" t="e">
        <v>#N/A</v>
      </c>
      <c r="F813" s="13" t="e">
        <v>#N/A</v>
      </c>
      <c r="G813" s="14" t="e">
        <v>#N/A</v>
      </c>
      <c r="H813" s="14" t="e">
        <v>#N/A</v>
      </c>
      <c r="J813" s="13" t="e">
        <v>#N/A</v>
      </c>
      <c r="K813" s="13" t="e">
        <v>#N/A</v>
      </c>
      <c r="L813" s="14" t="e">
        <v>#N/A</v>
      </c>
      <c r="M813" s="14" t="e">
        <v>#N/A</v>
      </c>
    </row>
    <row r="814" spans="5:13">
      <c r="E814" s="13" t="e">
        <v>#N/A</v>
      </c>
      <c r="F814" s="13" t="e">
        <v>#N/A</v>
      </c>
      <c r="G814" s="14" t="e">
        <v>#N/A</v>
      </c>
      <c r="H814" s="14" t="e">
        <v>#N/A</v>
      </c>
      <c r="J814" s="13" t="e">
        <v>#N/A</v>
      </c>
      <c r="K814" s="13" t="e">
        <v>#N/A</v>
      </c>
      <c r="L814" s="14" t="e">
        <v>#N/A</v>
      </c>
      <c r="M814" s="14" t="e">
        <v>#N/A</v>
      </c>
    </row>
    <row r="815" spans="5:13">
      <c r="E815" s="13" t="e">
        <v>#N/A</v>
      </c>
      <c r="F815" s="13" t="e">
        <v>#N/A</v>
      </c>
      <c r="G815" s="14" t="e">
        <v>#N/A</v>
      </c>
      <c r="H815" s="14" t="e">
        <v>#N/A</v>
      </c>
      <c r="J815" s="13" t="e">
        <v>#N/A</v>
      </c>
      <c r="K815" s="13" t="e">
        <v>#N/A</v>
      </c>
      <c r="L815" s="14" t="e">
        <v>#N/A</v>
      </c>
      <c r="M815" s="14" t="e">
        <v>#N/A</v>
      </c>
    </row>
    <row r="816" spans="5:13">
      <c r="E816" s="13" t="e">
        <v>#N/A</v>
      </c>
      <c r="F816" s="13" t="e">
        <v>#N/A</v>
      </c>
      <c r="G816" s="14" t="e">
        <v>#N/A</v>
      </c>
      <c r="H816" s="14" t="e">
        <v>#N/A</v>
      </c>
      <c r="J816" s="13" t="e">
        <v>#N/A</v>
      </c>
      <c r="K816" s="13" t="e">
        <v>#N/A</v>
      </c>
      <c r="L816" s="14" t="e">
        <v>#N/A</v>
      </c>
      <c r="M816" s="14" t="e">
        <v>#N/A</v>
      </c>
    </row>
    <row r="817" spans="5:13">
      <c r="E817" s="13" t="e">
        <v>#N/A</v>
      </c>
      <c r="F817" s="13" t="e">
        <v>#N/A</v>
      </c>
      <c r="G817" s="14" t="e">
        <v>#N/A</v>
      </c>
      <c r="H817" s="14" t="e">
        <v>#N/A</v>
      </c>
      <c r="J817" s="13" t="e">
        <v>#N/A</v>
      </c>
      <c r="K817" s="13" t="e">
        <v>#N/A</v>
      </c>
      <c r="L817" s="14" t="e">
        <v>#N/A</v>
      </c>
      <c r="M817" s="14" t="e">
        <v>#N/A</v>
      </c>
    </row>
    <row r="818" spans="5:13">
      <c r="E818" s="13" t="e">
        <v>#N/A</v>
      </c>
      <c r="F818" s="13" t="e">
        <v>#N/A</v>
      </c>
      <c r="G818" s="14" t="e">
        <v>#N/A</v>
      </c>
      <c r="H818" s="14" t="e">
        <v>#N/A</v>
      </c>
      <c r="J818" s="13" t="e">
        <v>#N/A</v>
      </c>
      <c r="K818" s="13" t="e">
        <v>#N/A</v>
      </c>
      <c r="L818" s="14" t="e">
        <v>#N/A</v>
      </c>
      <c r="M818" s="14" t="e">
        <v>#N/A</v>
      </c>
    </row>
    <row r="819" spans="5:13">
      <c r="E819" s="13" t="e">
        <v>#N/A</v>
      </c>
      <c r="F819" s="13" t="e">
        <v>#N/A</v>
      </c>
      <c r="G819" s="14" t="e">
        <v>#N/A</v>
      </c>
      <c r="H819" s="14" t="e">
        <v>#N/A</v>
      </c>
      <c r="J819" s="13" t="e">
        <v>#N/A</v>
      </c>
      <c r="K819" s="13" t="e">
        <v>#N/A</v>
      </c>
      <c r="L819" s="14" t="e">
        <v>#N/A</v>
      </c>
      <c r="M819" s="14" t="e">
        <v>#N/A</v>
      </c>
    </row>
    <row r="820" spans="5:13">
      <c r="E820" s="13" t="e">
        <v>#N/A</v>
      </c>
      <c r="F820" s="13" t="e">
        <v>#N/A</v>
      </c>
      <c r="G820" s="14" t="e">
        <v>#N/A</v>
      </c>
      <c r="H820" s="14" t="e">
        <v>#N/A</v>
      </c>
      <c r="J820" s="13" t="e">
        <v>#N/A</v>
      </c>
      <c r="K820" s="13" t="e">
        <v>#N/A</v>
      </c>
      <c r="L820" s="14" t="e">
        <v>#N/A</v>
      </c>
      <c r="M820" s="14" t="e">
        <v>#N/A</v>
      </c>
    </row>
    <row r="821" spans="5:13">
      <c r="E821" s="13" t="e">
        <v>#N/A</v>
      </c>
      <c r="F821" s="13" t="e">
        <v>#N/A</v>
      </c>
      <c r="G821" s="14" t="e">
        <v>#N/A</v>
      </c>
      <c r="H821" s="14" t="e">
        <v>#N/A</v>
      </c>
      <c r="J821" s="13" t="e">
        <v>#N/A</v>
      </c>
      <c r="K821" s="13" t="e">
        <v>#N/A</v>
      </c>
      <c r="L821" s="14" t="e">
        <v>#N/A</v>
      </c>
      <c r="M821" s="14" t="e">
        <v>#N/A</v>
      </c>
    </row>
    <row r="822" spans="5:13">
      <c r="E822" s="13" t="e">
        <v>#N/A</v>
      </c>
      <c r="F822" s="13" t="e">
        <v>#N/A</v>
      </c>
      <c r="G822" s="14" t="e">
        <v>#N/A</v>
      </c>
      <c r="H822" s="14" t="e">
        <v>#N/A</v>
      </c>
      <c r="J822" s="13" t="e">
        <v>#N/A</v>
      </c>
      <c r="K822" s="13" t="e">
        <v>#N/A</v>
      </c>
      <c r="L822" s="14" t="e">
        <v>#N/A</v>
      </c>
      <c r="M822" s="14" t="e">
        <v>#N/A</v>
      </c>
    </row>
    <row r="823" spans="5:13">
      <c r="E823" s="13" t="e">
        <v>#N/A</v>
      </c>
      <c r="F823" s="13" t="e">
        <v>#N/A</v>
      </c>
      <c r="G823" s="14" t="e">
        <v>#N/A</v>
      </c>
      <c r="H823" s="14" t="e">
        <v>#N/A</v>
      </c>
      <c r="J823" s="13" t="e">
        <v>#N/A</v>
      </c>
      <c r="K823" s="13" t="e">
        <v>#N/A</v>
      </c>
      <c r="L823" s="14" t="e">
        <v>#N/A</v>
      </c>
      <c r="M823" s="14" t="e">
        <v>#N/A</v>
      </c>
    </row>
    <row r="824" spans="5:13">
      <c r="E824" s="13" t="e">
        <v>#N/A</v>
      </c>
      <c r="F824" s="13" t="e">
        <v>#N/A</v>
      </c>
      <c r="G824" s="14" t="e">
        <v>#N/A</v>
      </c>
      <c r="H824" s="14" t="e">
        <v>#N/A</v>
      </c>
      <c r="J824" s="13" t="e">
        <v>#N/A</v>
      </c>
      <c r="K824" s="13" t="e">
        <v>#N/A</v>
      </c>
      <c r="L824" s="14" t="e">
        <v>#N/A</v>
      </c>
      <c r="M824" s="14" t="e">
        <v>#N/A</v>
      </c>
    </row>
    <row r="825" spans="5:13">
      <c r="E825" s="13" t="e">
        <v>#N/A</v>
      </c>
      <c r="F825" s="13" t="e">
        <v>#N/A</v>
      </c>
      <c r="G825" s="14" t="e">
        <v>#N/A</v>
      </c>
      <c r="H825" s="14" t="e">
        <v>#N/A</v>
      </c>
      <c r="J825" s="13" t="e">
        <v>#N/A</v>
      </c>
      <c r="K825" s="13" t="e">
        <v>#N/A</v>
      </c>
      <c r="L825" s="14" t="e">
        <v>#N/A</v>
      </c>
      <c r="M825" s="14" t="e">
        <v>#N/A</v>
      </c>
    </row>
    <row r="826" spans="5:13">
      <c r="E826" s="13" t="e">
        <v>#N/A</v>
      </c>
      <c r="F826" s="13" t="e">
        <v>#N/A</v>
      </c>
      <c r="G826" s="14" t="e">
        <v>#N/A</v>
      </c>
      <c r="H826" s="14" t="e">
        <v>#N/A</v>
      </c>
      <c r="J826" s="13" t="e">
        <v>#N/A</v>
      </c>
      <c r="K826" s="13" t="e">
        <v>#N/A</v>
      </c>
      <c r="L826" s="14" t="e">
        <v>#N/A</v>
      </c>
      <c r="M826" s="14" t="e">
        <v>#N/A</v>
      </c>
    </row>
    <row r="827" spans="5:13">
      <c r="E827" s="13" t="e">
        <v>#N/A</v>
      </c>
      <c r="F827" s="13" t="e">
        <v>#N/A</v>
      </c>
      <c r="G827" s="14" t="e">
        <v>#N/A</v>
      </c>
      <c r="H827" s="14" t="e">
        <v>#N/A</v>
      </c>
      <c r="J827" s="13" t="e">
        <v>#N/A</v>
      </c>
      <c r="K827" s="13" t="e">
        <v>#N/A</v>
      </c>
      <c r="L827" s="14" t="e">
        <v>#N/A</v>
      </c>
      <c r="M827" s="14" t="e">
        <v>#N/A</v>
      </c>
    </row>
    <row r="828" spans="5:13">
      <c r="E828" s="13" t="e">
        <v>#N/A</v>
      </c>
      <c r="F828" s="13" t="e">
        <v>#N/A</v>
      </c>
      <c r="G828" s="14" t="e">
        <v>#N/A</v>
      </c>
      <c r="H828" s="14" t="e">
        <v>#N/A</v>
      </c>
      <c r="J828" s="13" t="e">
        <v>#N/A</v>
      </c>
      <c r="K828" s="13" t="e">
        <v>#N/A</v>
      </c>
      <c r="L828" s="14" t="e">
        <v>#N/A</v>
      </c>
      <c r="M828" s="14" t="e">
        <v>#N/A</v>
      </c>
    </row>
    <row r="829" spans="5:13">
      <c r="E829" s="13" t="e">
        <v>#N/A</v>
      </c>
      <c r="F829" s="13" t="e">
        <v>#N/A</v>
      </c>
      <c r="G829" s="14" t="e">
        <v>#N/A</v>
      </c>
      <c r="H829" s="14" t="e">
        <v>#N/A</v>
      </c>
      <c r="J829" s="13" t="e">
        <v>#N/A</v>
      </c>
      <c r="K829" s="13" t="e">
        <v>#N/A</v>
      </c>
      <c r="L829" s="14" t="e">
        <v>#N/A</v>
      </c>
      <c r="M829" s="14" t="e">
        <v>#N/A</v>
      </c>
    </row>
    <row r="830" spans="5:13">
      <c r="E830" s="13" t="e">
        <v>#N/A</v>
      </c>
      <c r="F830" s="13" t="e">
        <v>#N/A</v>
      </c>
      <c r="G830" s="14" t="e">
        <v>#N/A</v>
      </c>
      <c r="H830" s="14" t="e">
        <v>#N/A</v>
      </c>
      <c r="J830" s="13" t="e">
        <v>#N/A</v>
      </c>
      <c r="K830" s="13" t="e">
        <v>#N/A</v>
      </c>
      <c r="L830" s="14" t="e">
        <v>#N/A</v>
      </c>
      <c r="M830" s="14" t="e">
        <v>#N/A</v>
      </c>
    </row>
    <row r="831" spans="5:13">
      <c r="E831" s="13" t="e">
        <v>#N/A</v>
      </c>
      <c r="F831" s="13" t="e">
        <v>#N/A</v>
      </c>
      <c r="G831" s="14" t="e">
        <v>#N/A</v>
      </c>
      <c r="H831" s="14" t="e">
        <v>#N/A</v>
      </c>
      <c r="J831" s="13" t="e">
        <v>#N/A</v>
      </c>
      <c r="K831" s="13" t="e">
        <v>#N/A</v>
      </c>
      <c r="L831" s="14" t="e">
        <v>#N/A</v>
      </c>
      <c r="M831" s="14" t="e">
        <v>#N/A</v>
      </c>
    </row>
    <row r="832" spans="5:13">
      <c r="E832" s="13" t="e">
        <v>#N/A</v>
      </c>
      <c r="F832" s="13" t="e">
        <v>#N/A</v>
      </c>
      <c r="G832" s="14" t="e">
        <v>#N/A</v>
      </c>
      <c r="H832" s="14" t="e">
        <v>#N/A</v>
      </c>
      <c r="J832" s="13" t="e">
        <v>#N/A</v>
      </c>
      <c r="K832" s="13" t="e">
        <v>#N/A</v>
      </c>
      <c r="L832" s="14" t="e">
        <v>#N/A</v>
      </c>
      <c r="M832" s="14" t="e">
        <v>#N/A</v>
      </c>
    </row>
    <row r="833" spans="5:13">
      <c r="E833" s="13" t="e">
        <v>#N/A</v>
      </c>
      <c r="F833" s="13" t="e">
        <v>#N/A</v>
      </c>
      <c r="G833" s="14" t="e">
        <v>#N/A</v>
      </c>
      <c r="H833" s="14" t="e">
        <v>#N/A</v>
      </c>
      <c r="J833" s="13" t="e">
        <v>#N/A</v>
      </c>
      <c r="K833" s="13" t="e">
        <v>#N/A</v>
      </c>
      <c r="L833" s="14" t="e">
        <v>#N/A</v>
      </c>
      <c r="M833" s="14" t="e">
        <v>#N/A</v>
      </c>
    </row>
    <row r="834" spans="5:13">
      <c r="E834" s="13" t="e">
        <v>#N/A</v>
      </c>
      <c r="F834" s="13" t="e">
        <v>#N/A</v>
      </c>
      <c r="G834" s="14" t="e">
        <v>#N/A</v>
      </c>
      <c r="H834" s="14" t="e">
        <v>#N/A</v>
      </c>
      <c r="J834" s="13" t="e">
        <v>#N/A</v>
      </c>
      <c r="K834" s="13" t="e">
        <v>#N/A</v>
      </c>
      <c r="L834" s="14" t="e">
        <v>#N/A</v>
      </c>
      <c r="M834" s="14" t="e">
        <v>#N/A</v>
      </c>
    </row>
    <row r="835" spans="5:13">
      <c r="E835" s="13" t="e">
        <v>#N/A</v>
      </c>
      <c r="F835" s="13" t="e">
        <v>#N/A</v>
      </c>
      <c r="G835" s="14" t="e">
        <v>#N/A</v>
      </c>
      <c r="H835" s="14" t="e">
        <v>#N/A</v>
      </c>
      <c r="J835" s="13" t="e">
        <v>#N/A</v>
      </c>
      <c r="K835" s="13" t="e">
        <v>#N/A</v>
      </c>
      <c r="L835" s="14" t="e">
        <v>#N/A</v>
      </c>
      <c r="M835" s="14" t="e">
        <v>#N/A</v>
      </c>
    </row>
    <row r="836" spans="5:13">
      <c r="E836" s="13" t="e">
        <v>#N/A</v>
      </c>
      <c r="F836" s="13" t="e">
        <v>#N/A</v>
      </c>
      <c r="G836" s="14" t="e">
        <v>#N/A</v>
      </c>
      <c r="H836" s="14" t="e">
        <v>#N/A</v>
      </c>
      <c r="J836" s="13" t="e">
        <v>#N/A</v>
      </c>
      <c r="K836" s="13" t="e">
        <v>#N/A</v>
      </c>
      <c r="L836" s="14" t="e">
        <v>#N/A</v>
      </c>
      <c r="M836" s="14" t="e">
        <v>#N/A</v>
      </c>
    </row>
    <row r="837" spans="5:13">
      <c r="E837" s="13" t="e">
        <v>#N/A</v>
      </c>
      <c r="F837" s="13" t="e">
        <v>#N/A</v>
      </c>
      <c r="G837" s="14" t="e">
        <v>#N/A</v>
      </c>
      <c r="H837" s="14" t="e">
        <v>#N/A</v>
      </c>
      <c r="J837" s="13" t="e">
        <v>#N/A</v>
      </c>
      <c r="K837" s="13" t="e">
        <v>#N/A</v>
      </c>
      <c r="L837" s="14" t="e">
        <v>#N/A</v>
      </c>
      <c r="M837" s="14" t="e">
        <v>#N/A</v>
      </c>
    </row>
    <row r="838" spans="5:13">
      <c r="E838" s="13" t="e">
        <v>#N/A</v>
      </c>
      <c r="F838" s="13" t="e">
        <v>#N/A</v>
      </c>
      <c r="G838" s="14" t="e">
        <v>#N/A</v>
      </c>
      <c r="H838" s="14" t="e">
        <v>#N/A</v>
      </c>
      <c r="J838" s="13" t="e">
        <v>#N/A</v>
      </c>
      <c r="K838" s="13" t="e">
        <v>#N/A</v>
      </c>
      <c r="L838" s="14" t="e">
        <v>#N/A</v>
      </c>
      <c r="M838" s="14" t="e">
        <v>#N/A</v>
      </c>
    </row>
    <row r="839" spans="5:13">
      <c r="E839" s="13" t="e">
        <v>#N/A</v>
      </c>
      <c r="F839" s="13" t="e">
        <v>#N/A</v>
      </c>
      <c r="G839" s="14" t="e">
        <v>#N/A</v>
      </c>
      <c r="H839" s="14" t="e">
        <v>#N/A</v>
      </c>
      <c r="J839" s="13" t="e">
        <v>#N/A</v>
      </c>
      <c r="K839" s="13" t="e">
        <v>#N/A</v>
      </c>
      <c r="L839" s="14" t="e">
        <v>#N/A</v>
      </c>
      <c r="M839" s="14" t="e">
        <v>#N/A</v>
      </c>
    </row>
    <row r="840" spans="5:13">
      <c r="E840" s="13" t="e">
        <v>#N/A</v>
      </c>
      <c r="F840" s="13" t="e">
        <v>#N/A</v>
      </c>
      <c r="G840" s="14" t="e">
        <v>#N/A</v>
      </c>
      <c r="H840" s="14" t="e">
        <v>#N/A</v>
      </c>
      <c r="J840" s="13" t="e">
        <v>#N/A</v>
      </c>
      <c r="K840" s="13" t="e">
        <v>#N/A</v>
      </c>
      <c r="L840" s="14" t="e">
        <v>#N/A</v>
      </c>
      <c r="M840" s="14" t="e">
        <v>#N/A</v>
      </c>
    </row>
    <row r="841" spans="5:13">
      <c r="E841" s="13" t="e">
        <v>#N/A</v>
      </c>
      <c r="F841" s="13" t="e">
        <v>#N/A</v>
      </c>
      <c r="G841" s="14" t="e">
        <v>#N/A</v>
      </c>
      <c r="H841" s="14" t="e">
        <v>#N/A</v>
      </c>
      <c r="J841" s="13" t="e">
        <v>#N/A</v>
      </c>
      <c r="K841" s="13" t="e">
        <v>#N/A</v>
      </c>
      <c r="L841" s="14" t="e">
        <v>#N/A</v>
      </c>
      <c r="M841" s="14" t="e">
        <v>#N/A</v>
      </c>
    </row>
    <row r="842" spans="5:13">
      <c r="E842" s="13" t="e">
        <v>#N/A</v>
      </c>
      <c r="F842" s="13" t="e">
        <v>#N/A</v>
      </c>
      <c r="G842" s="14" t="e">
        <v>#N/A</v>
      </c>
      <c r="H842" s="14" t="e">
        <v>#N/A</v>
      </c>
      <c r="J842" s="13" t="e">
        <v>#N/A</v>
      </c>
      <c r="K842" s="13" t="e">
        <v>#N/A</v>
      </c>
      <c r="L842" s="14" t="e">
        <v>#N/A</v>
      </c>
      <c r="M842" s="14" t="e">
        <v>#N/A</v>
      </c>
    </row>
    <row r="843" spans="5:13">
      <c r="E843" s="13" t="e">
        <v>#N/A</v>
      </c>
      <c r="F843" s="13" t="e">
        <v>#N/A</v>
      </c>
      <c r="G843" s="14" t="e">
        <v>#N/A</v>
      </c>
      <c r="H843" s="14" t="e">
        <v>#N/A</v>
      </c>
      <c r="J843" s="13" t="e">
        <v>#N/A</v>
      </c>
      <c r="K843" s="13" t="e">
        <v>#N/A</v>
      </c>
      <c r="L843" s="14" t="e">
        <v>#N/A</v>
      </c>
      <c r="M843" s="14" t="e">
        <v>#N/A</v>
      </c>
    </row>
    <row r="844" spans="5:13">
      <c r="E844" s="13" t="e">
        <v>#N/A</v>
      </c>
      <c r="F844" s="13" t="e">
        <v>#N/A</v>
      </c>
      <c r="G844" s="14" t="e">
        <v>#N/A</v>
      </c>
      <c r="H844" s="14" t="e">
        <v>#N/A</v>
      </c>
      <c r="J844" s="13" t="e">
        <v>#N/A</v>
      </c>
      <c r="K844" s="13" t="e">
        <v>#N/A</v>
      </c>
      <c r="L844" s="14" t="e">
        <v>#N/A</v>
      </c>
      <c r="M844" s="14" t="e">
        <v>#N/A</v>
      </c>
    </row>
    <row r="845" spans="5:13">
      <c r="E845" s="13" t="e">
        <v>#N/A</v>
      </c>
      <c r="F845" s="13" t="e">
        <v>#N/A</v>
      </c>
      <c r="G845" s="14" t="e">
        <v>#N/A</v>
      </c>
      <c r="H845" s="14" t="e">
        <v>#N/A</v>
      </c>
      <c r="J845" s="13" t="e">
        <v>#N/A</v>
      </c>
      <c r="K845" s="13" t="e">
        <v>#N/A</v>
      </c>
      <c r="L845" s="14" t="e">
        <v>#N/A</v>
      </c>
      <c r="M845" s="14" t="e">
        <v>#N/A</v>
      </c>
    </row>
    <row r="846" spans="5:13">
      <c r="E846" s="13" t="e">
        <v>#N/A</v>
      </c>
      <c r="F846" s="13" t="e">
        <v>#N/A</v>
      </c>
      <c r="G846" s="14" t="e">
        <v>#N/A</v>
      </c>
      <c r="H846" s="14" t="e">
        <v>#N/A</v>
      </c>
      <c r="J846" s="13" t="e">
        <v>#N/A</v>
      </c>
      <c r="K846" s="13" t="e">
        <v>#N/A</v>
      </c>
      <c r="L846" s="14" t="e">
        <v>#N/A</v>
      </c>
      <c r="M846" s="14" t="e">
        <v>#N/A</v>
      </c>
    </row>
    <row r="847" spans="5:13">
      <c r="E847" s="13" t="e">
        <v>#N/A</v>
      </c>
      <c r="F847" s="13" t="e">
        <v>#N/A</v>
      </c>
      <c r="G847" s="14" t="e">
        <v>#N/A</v>
      </c>
      <c r="H847" s="14" t="e">
        <v>#N/A</v>
      </c>
      <c r="J847" s="13" t="e">
        <v>#N/A</v>
      </c>
      <c r="K847" s="13" t="e">
        <v>#N/A</v>
      </c>
      <c r="L847" s="14" t="e">
        <v>#N/A</v>
      </c>
      <c r="M847" s="14" t="e">
        <v>#N/A</v>
      </c>
    </row>
    <row r="848" spans="5:13">
      <c r="E848" s="13" t="e">
        <v>#N/A</v>
      </c>
      <c r="F848" s="13" t="e">
        <v>#N/A</v>
      </c>
      <c r="G848" s="14" t="e">
        <v>#N/A</v>
      </c>
      <c r="H848" s="14" t="e">
        <v>#N/A</v>
      </c>
      <c r="J848" s="13" t="e">
        <v>#N/A</v>
      </c>
      <c r="K848" s="13" t="e">
        <v>#N/A</v>
      </c>
      <c r="L848" s="14" t="e">
        <v>#N/A</v>
      </c>
      <c r="M848" s="14" t="e">
        <v>#N/A</v>
      </c>
    </row>
    <row r="849" spans="5:13">
      <c r="E849" s="13" t="e">
        <v>#N/A</v>
      </c>
      <c r="F849" s="13" t="e">
        <v>#N/A</v>
      </c>
      <c r="G849" s="14" t="e">
        <v>#N/A</v>
      </c>
      <c r="H849" s="14" t="e">
        <v>#N/A</v>
      </c>
      <c r="J849" s="13" t="e">
        <v>#N/A</v>
      </c>
      <c r="K849" s="13" t="e">
        <v>#N/A</v>
      </c>
      <c r="L849" s="14" t="e">
        <v>#N/A</v>
      </c>
      <c r="M849" s="14" t="e">
        <v>#N/A</v>
      </c>
    </row>
    <row r="850" spans="5:13">
      <c r="E850" s="13" t="e">
        <v>#N/A</v>
      </c>
      <c r="F850" s="13" t="e">
        <v>#N/A</v>
      </c>
      <c r="G850" s="14" t="e">
        <v>#N/A</v>
      </c>
      <c r="H850" s="14" t="e">
        <v>#N/A</v>
      </c>
      <c r="J850" s="13" t="e">
        <v>#N/A</v>
      </c>
      <c r="K850" s="13" t="e">
        <v>#N/A</v>
      </c>
      <c r="L850" s="14" t="e">
        <v>#N/A</v>
      </c>
      <c r="M850" s="14" t="e">
        <v>#N/A</v>
      </c>
    </row>
    <row r="851" spans="5:13">
      <c r="E851" s="13" t="e">
        <v>#N/A</v>
      </c>
      <c r="F851" s="13" t="e">
        <v>#N/A</v>
      </c>
      <c r="G851" s="14" t="e">
        <v>#N/A</v>
      </c>
      <c r="H851" s="14" t="e">
        <v>#N/A</v>
      </c>
      <c r="J851" s="13" t="e">
        <v>#N/A</v>
      </c>
      <c r="K851" s="13" t="e">
        <v>#N/A</v>
      </c>
      <c r="L851" s="14" t="e">
        <v>#N/A</v>
      </c>
      <c r="M851" s="14" t="e">
        <v>#N/A</v>
      </c>
    </row>
    <row r="852" spans="5:13">
      <c r="E852" s="13" t="e">
        <v>#N/A</v>
      </c>
      <c r="F852" s="13" t="e">
        <v>#N/A</v>
      </c>
      <c r="G852" s="14" t="e">
        <v>#N/A</v>
      </c>
      <c r="H852" s="14" t="e">
        <v>#N/A</v>
      </c>
      <c r="J852" s="13" t="e">
        <v>#N/A</v>
      </c>
      <c r="K852" s="13" t="e">
        <v>#N/A</v>
      </c>
      <c r="L852" s="14" t="e">
        <v>#N/A</v>
      </c>
      <c r="M852" s="14" t="e">
        <v>#N/A</v>
      </c>
    </row>
    <row r="853" spans="5:13">
      <c r="E853" s="13" t="e">
        <v>#N/A</v>
      </c>
      <c r="F853" s="13" t="e">
        <v>#N/A</v>
      </c>
      <c r="G853" s="14" t="e">
        <v>#N/A</v>
      </c>
      <c r="H853" s="14" t="e">
        <v>#N/A</v>
      </c>
      <c r="J853" s="13" t="e">
        <v>#N/A</v>
      </c>
      <c r="K853" s="13" t="e">
        <v>#N/A</v>
      </c>
      <c r="L853" s="14" t="e">
        <v>#N/A</v>
      </c>
      <c r="M853" s="14" t="e">
        <v>#N/A</v>
      </c>
    </row>
    <row r="854" spans="5:13">
      <c r="E854" s="13" t="e">
        <v>#N/A</v>
      </c>
      <c r="F854" s="13" t="e">
        <v>#N/A</v>
      </c>
      <c r="G854" s="14" t="e">
        <v>#N/A</v>
      </c>
      <c r="H854" s="14" t="e">
        <v>#N/A</v>
      </c>
      <c r="J854" s="13" t="e">
        <v>#N/A</v>
      </c>
      <c r="K854" s="13" t="e">
        <v>#N/A</v>
      </c>
      <c r="L854" s="14" t="e">
        <v>#N/A</v>
      </c>
      <c r="M854" s="14" t="e">
        <v>#N/A</v>
      </c>
    </row>
    <row r="855" spans="5:13">
      <c r="E855" s="13" t="e">
        <v>#N/A</v>
      </c>
      <c r="F855" s="13" t="e">
        <v>#N/A</v>
      </c>
      <c r="G855" s="14" t="e">
        <v>#N/A</v>
      </c>
      <c r="H855" s="14" t="e">
        <v>#N/A</v>
      </c>
      <c r="J855" s="13" t="e">
        <v>#N/A</v>
      </c>
      <c r="K855" s="13" t="e">
        <v>#N/A</v>
      </c>
      <c r="L855" s="14" t="e">
        <v>#N/A</v>
      </c>
      <c r="M855" s="14" t="e">
        <v>#N/A</v>
      </c>
    </row>
    <row r="856" spans="5:13">
      <c r="E856" s="13" t="e">
        <v>#N/A</v>
      </c>
      <c r="F856" s="13" t="e">
        <v>#N/A</v>
      </c>
      <c r="G856" s="14" t="e">
        <v>#N/A</v>
      </c>
      <c r="H856" s="14" t="e">
        <v>#N/A</v>
      </c>
      <c r="J856" s="13" t="e">
        <v>#N/A</v>
      </c>
      <c r="K856" s="13" t="e">
        <v>#N/A</v>
      </c>
      <c r="L856" s="14" t="e">
        <v>#N/A</v>
      </c>
      <c r="M856" s="14" t="e">
        <v>#N/A</v>
      </c>
    </row>
    <row r="857" spans="5:13">
      <c r="E857" s="13" t="e">
        <v>#N/A</v>
      </c>
      <c r="F857" s="13" t="e">
        <v>#N/A</v>
      </c>
      <c r="G857" s="14" t="e">
        <v>#N/A</v>
      </c>
      <c r="H857" s="14" t="e">
        <v>#N/A</v>
      </c>
      <c r="J857" s="13" t="e">
        <v>#N/A</v>
      </c>
      <c r="K857" s="13" t="e">
        <v>#N/A</v>
      </c>
      <c r="L857" s="14" t="e">
        <v>#N/A</v>
      </c>
      <c r="M857" s="14" t="e">
        <v>#N/A</v>
      </c>
    </row>
    <row r="858" spans="5:13">
      <c r="E858" s="13" t="e">
        <v>#N/A</v>
      </c>
      <c r="F858" s="13" t="e">
        <v>#N/A</v>
      </c>
      <c r="G858" s="14" t="e">
        <v>#N/A</v>
      </c>
      <c r="H858" s="14" t="e">
        <v>#N/A</v>
      </c>
      <c r="J858" s="13" t="e">
        <v>#N/A</v>
      </c>
      <c r="K858" s="13" t="e">
        <v>#N/A</v>
      </c>
      <c r="L858" s="14" t="e">
        <v>#N/A</v>
      </c>
      <c r="M858" s="14" t="e">
        <v>#N/A</v>
      </c>
    </row>
    <row r="859" spans="5:13">
      <c r="E859" s="13" t="e">
        <v>#N/A</v>
      </c>
      <c r="F859" s="13" t="e">
        <v>#N/A</v>
      </c>
      <c r="G859" s="14" t="e">
        <v>#N/A</v>
      </c>
      <c r="H859" s="14" t="e">
        <v>#N/A</v>
      </c>
      <c r="J859" s="13" t="e">
        <v>#N/A</v>
      </c>
      <c r="K859" s="13" t="e">
        <v>#N/A</v>
      </c>
      <c r="L859" s="14" t="e">
        <v>#N/A</v>
      </c>
      <c r="M859" s="14" t="e">
        <v>#N/A</v>
      </c>
    </row>
    <row r="860" spans="5:13">
      <c r="E860" s="13" t="e">
        <v>#N/A</v>
      </c>
      <c r="F860" s="13" t="e">
        <v>#N/A</v>
      </c>
      <c r="G860" s="14" t="e">
        <v>#N/A</v>
      </c>
      <c r="H860" s="14" t="e">
        <v>#N/A</v>
      </c>
      <c r="J860" s="13" t="e">
        <v>#N/A</v>
      </c>
      <c r="K860" s="13" t="e">
        <v>#N/A</v>
      </c>
      <c r="L860" s="14" t="e">
        <v>#N/A</v>
      </c>
      <c r="M860" s="14" t="e">
        <v>#N/A</v>
      </c>
    </row>
    <row r="861" spans="5:13">
      <c r="E861" s="13" t="e">
        <v>#N/A</v>
      </c>
      <c r="F861" s="13" t="e">
        <v>#N/A</v>
      </c>
      <c r="G861" s="14" t="e">
        <v>#N/A</v>
      </c>
      <c r="H861" s="14" t="e">
        <v>#N/A</v>
      </c>
      <c r="J861" s="13" t="e">
        <v>#N/A</v>
      </c>
      <c r="K861" s="13" t="e">
        <v>#N/A</v>
      </c>
      <c r="L861" s="14" t="e">
        <v>#N/A</v>
      </c>
      <c r="M861" s="14" t="e">
        <v>#N/A</v>
      </c>
    </row>
    <row r="862" spans="5:13">
      <c r="E862" s="13" t="e">
        <v>#N/A</v>
      </c>
      <c r="F862" s="13" t="e">
        <v>#N/A</v>
      </c>
      <c r="G862" s="14" t="e">
        <v>#N/A</v>
      </c>
      <c r="H862" s="14" t="e">
        <v>#N/A</v>
      </c>
      <c r="J862" s="13" t="e">
        <v>#N/A</v>
      </c>
      <c r="K862" s="13" t="e">
        <v>#N/A</v>
      </c>
      <c r="L862" s="14" t="e">
        <v>#N/A</v>
      </c>
      <c r="M862" s="14" t="e">
        <v>#N/A</v>
      </c>
    </row>
    <row r="863" spans="5:13">
      <c r="E863" s="13" t="e">
        <v>#N/A</v>
      </c>
      <c r="F863" s="13" t="e">
        <v>#N/A</v>
      </c>
      <c r="G863" s="14" t="e">
        <v>#N/A</v>
      </c>
      <c r="H863" s="14" t="e">
        <v>#N/A</v>
      </c>
      <c r="J863" s="13" t="e">
        <v>#N/A</v>
      </c>
      <c r="K863" s="13" t="e">
        <v>#N/A</v>
      </c>
      <c r="L863" s="14" t="e">
        <v>#N/A</v>
      </c>
      <c r="M863" s="14" t="e">
        <v>#N/A</v>
      </c>
    </row>
    <row r="864" spans="5:13">
      <c r="E864" s="13" t="e">
        <v>#N/A</v>
      </c>
      <c r="F864" s="13" t="e">
        <v>#N/A</v>
      </c>
      <c r="G864" s="14" t="e">
        <v>#N/A</v>
      </c>
      <c r="H864" s="14" t="e">
        <v>#N/A</v>
      </c>
      <c r="J864" s="13" t="e">
        <v>#N/A</v>
      </c>
      <c r="K864" s="13" t="e">
        <v>#N/A</v>
      </c>
      <c r="L864" s="14" t="e">
        <v>#N/A</v>
      </c>
      <c r="M864" s="14" t="e">
        <v>#N/A</v>
      </c>
    </row>
    <row r="865" spans="5:13">
      <c r="E865" s="13" t="e">
        <v>#N/A</v>
      </c>
      <c r="F865" s="13" t="e">
        <v>#N/A</v>
      </c>
      <c r="G865" s="14" t="e">
        <v>#N/A</v>
      </c>
      <c r="H865" s="14" t="e">
        <v>#N/A</v>
      </c>
      <c r="J865" s="13" t="e">
        <v>#N/A</v>
      </c>
      <c r="K865" s="13" t="e">
        <v>#N/A</v>
      </c>
      <c r="L865" s="14" t="e">
        <v>#N/A</v>
      </c>
      <c r="M865" s="14" t="e">
        <v>#N/A</v>
      </c>
    </row>
    <row r="866" spans="5:13">
      <c r="E866" s="13" t="e">
        <v>#N/A</v>
      </c>
      <c r="F866" s="13" t="e">
        <v>#N/A</v>
      </c>
      <c r="G866" s="14" t="e">
        <v>#N/A</v>
      </c>
      <c r="H866" s="14" t="e">
        <v>#N/A</v>
      </c>
      <c r="J866" s="13" t="e">
        <v>#N/A</v>
      </c>
      <c r="K866" s="13" t="e">
        <v>#N/A</v>
      </c>
      <c r="L866" s="14" t="e">
        <v>#N/A</v>
      </c>
      <c r="M866" s="14" t="e">
        <v>#N/A</v>
      </c>
    </row>
    <row r="867" spans="5:13">
      <c r="E867" s="13" t="e">
        <v>#N/A</v>
      </c>
      <c r="F867" s="13" t="e">
        <v>#N/A</v>
      </c>
      <c r="G867" s="14" t="e">
        <v>#N/A</v>
      </c>
      <c r="H867" s="14" t="e">
        <v>#N/A</v>
      </c>
      <c r="J867" s="13" t="e">
        <v>#N/A</v>
      </c>
      <c r="K867" s="13" t="e">
        <v>#N/A</v>
      </c>
      <c r="L867" s="14" t="e">
        <v>#N/A</v>
      </c>
      <c r="M867" s="14" t="e">
        <v>#N/A</v>
      </c>
    </row>
    <row r="868" spans="5:13">
      <c r="E868" s="13" t="e">
        <v>#N/A</v>
      </c>
      <c r="F868" s="13" t="e">
        <v>#N/A</v>
      </c>
      <c r="G868" s="14" t="e">
        <v>#N/A</v>
      </c>
      <c r="H868" s="14" t="e">
        <v>#N/A</v>
      </c>
      <c r="J868" s="13" t="e">
        <v>#N/A</v>
      </c>
      <c r="K868" s="13" t="e">
        <v>#N/A</v>
      </c>
      <c r="L868" s="14" t="e">
        <v>#N/A</v>
      </c>
      <c r="M868" s="14" t="e">
        <v>#N/A</v>
      </c>
    </row>
    <row r="869" spans="5:13">
      <c r="E869" s="13" t="e">
        <v>#N/A</v>
      </c>
      <c r="F869" s="13" t="e">
        <v>#N/A</v>
      </c>
      <c r="G869" s="14" t="e">
        <v>#N/A</v>
      </c>
      <c r="H869" s="14" t="e">
        <v>#N/A</v>
      </c>
      <c r="J869" s="13" t="e">
        <v>#N/A</v>
      </c>
      <c r="K869" s="13" t="e">
        <v>#N/A</v>
      </c>
      <c r="L869" s="14" t="e">
        <v>#N/A</v>
      </c>
      <c r="M869" s="14" t="e">
        <v>#N/A</v>
      </c>
    </row>
    <row r="870" spans="5:13">
      <c r="E870" s="13" t="e">
        <v>#N/A</v>
      </c>
      <c r="F870" s="13" t="e">
        <v>#N/A</v>
      </c>
      <c r="G870" s="14" t="e">
        <v>#N/A</v>
      </c>
      <c r="H870" s="14" t="e">
        <v>#N/A</v>
      </c>
      <c r="J870" s="13" t="e">
        <v>#N/A</v>
      </c>
      <c r="K870" s="13" t="e">
        <v>#N/A</v>
      </c>
      <c r="L870" s="14" t="e">
        <v>#N/A</v>
      </c>
      <c r="M870" s="14" t="e">
        <v>#N/A</v>
      </c>
    </row>
    <row r="871" spans="5:13">
      <c r="E871" s="13" t="e">
        <v>#N/A</v>
      </c>
      <c r="F871" s="13" t="e">
        <v>#N/A</v>
      </c>
      <c r="G871" s="14" t="e">
        <v>#N/A</v>
      </c>
      <c r="H871" s="14" t="e">
        <v>#N/A</v>
      </c>
      <c r="J871" s="13" t="e">
        <v>#N/A</v>
      </c>
      <c r="K871" s="13" t="e">
        <v>#N/A</v>
      </c>
      <c r="L871" s="14" t="e">
        <v>#N/A</v>
      </c>
      <c r="M871" s="14" t="e">
        <v>#N/A</v>
      </c>
    </row>
    <row r="872" spans="5:13">
      <c r="E872" s="13" t="e">
        <v>#N/A</v>
      </c>
      <c r="F872" s="13" t="e">
        <v>#N/A</v>
      </c>
      <c r="G872" s="14" t="e">
        <v>#N/A</v>
      </c>
      <c r="H872" s="14" t="e">
        <v>#N/A</v>
      </c>
      <c r="J872" s="13" t="e">
        <v>#N/A</v>
      </c>
      <c r="K872" s="13" t="e">
        <v>#N/A</v>
      </c>
      <c r="L872" s="14" t="e">
        <v>#N/A</v>
      </c>
      <c r="M872" s="14" t="e">
        <v>#N/A</v>
      </c>
    </row>
    <row r="873" spans="5:13">
      <c r="E873" s="13" t="e">
        <v>#N/A</v>
      </c>
      <c r="F873" s="13" t="e">
        <v>#N/A</v>
      </c>
      <c r="G873" s="14" t="e">
        <v>#N/A</v>
      </c>
      <c r="H873" s="14" t="e">
        <v>#N/A</v>
      </c>
      <c r="J873" s="13" t="e">
        <v>#N/A</v>
      </c>
      <c r="K873" s="13" t="e">
        <v>#N/A</v>
      </c>
      <c r="L873" s="14" t="e">
        <v>#N/A</v>
      </c>
      <c r="M873" s="14" t="e">
        <v>#N/A</v>
      </c>
    </row>
    <row r="874" spans="5:13">
      <c r="E874" s="13" t="e">
        <v>#N/A</v>
      </c>
      <c r="F874" s="13" t="e">
        <v>#N/A</v>
      </c>
      <c r="G874" s="14" t="e">
        <v>#N/A</v>
      </c>
      <c r="H874" s="14" t="e">
        <v>#N/A</v>
      </c>
      <c r="J874" s="13" t="e">
        <v>#N/A</v>
      </c>
      <c r="K874" s="13" t="e">
        <v>#N/A</v>
      </c>
      <c r="L874" s="14" t="e">
        <v>#N/A</v>
      </c>
      <c r="M874" s="14" t="e">
        <v>#N/A</v>
      </c>
    </row>
    <row r="875" spans="5:13">
      <c r="E875" s="13" t="e">
        <v>#N/A</v>
      </c>
      <c r="F875" s="13" t="e">
        <v>#N/A</v>
      </c>
      <c r="G875" s="14" t="e">
        <v>#N/A</v>
      </c>
      <c r="H875" s="14" t="e">
        <v>#N/A</v>
      </c>
      <c r="J875" s="13" t="e">
        <v>#N/A</v>
      </c>
      <c r="K875" s="13" t="e">
        <v>#N/A</v>
      </c>
      <c r="L875" s="14" t="e">
        <v>#N/A</v>
      </c>
      <c r="M875" s="14" t="e">
        <v>#N/A</v>
      </c>
    </row>
    <row r="876" spans="5:13">
      <c r="E876" s="13" t="e">
        <v>#N/A</v>
      </c>
      <c r="F876" s="13" t="e">
        <v>#N/A</v>
      </c>
      <c r="G876" s="14" t="e">
        <v>#N/A</v>
      </c>
      <c r="H876" s="14" t="e">
        <v>#N/A</v>
      </c>
      <c r="J876" s="13" t="e">
        <v>#N/A</v>
      </c>
      <c r="K876" s="13" t="e">
        <v>#N/A</v>
      </c>
      <c r="L876" s="14" t="e">
        <v>#N/A</v>
      </c>
      <c r="M876" s="14" t="e">
        <v>#N/A</v>
      </c>
    </row>
    <row r="877" spans="5:13">
      <c r="E877" s="13" t="e">
        <v>#N/A</v>
      </c>
      <c r="F877" s="13" t="e">
        <v>#N/A</v>
      </c>
      <c r="G877" s="14" t="e">
        <v>#N/A</v>
      </c>
      <c r="H877" s="14" t="e">
        <v>#N/A</v>
      </c>
      <c r="J877" s="13" t="e">
        <v>#N/A</v>
      </c>
      <c r="K877" s="13" t="e">
        <v>#N/A</v>
      </c>
      <c r="L877" s="14" t="e">
        <v>#N/A</v>
      </c>
      <c r="M877" s="14" t="e">
        <v>#N/A</v>
      </c>
    </row>
    <row r="878" spans="5:13">
      <c r="E878" s="13" t="e">
        <v>#N/A</v>
      </c>
      <c r="F878" s="13" t="e">
        <v>#N/A</v>
      </c>
      <c r="G878" s="14" t="e">
        <v>#N/A</v>
      </c>
      <c r="H878" s="14" t="e">
        <v>#N/A</v>
      </c>
      <c r="J878" s="13" t="e">
        <v>#N/A</v>
      </c>
      <c r="K878" s="13" t="e">
        <v>#N/A</v>
      </c>
      <c r="L878" s="14" t="e">
        <v>#N/A</v>
      </c>
      <c r="M878" s="14" t="e">
        <v>#N/A</v>
      </c>
    </row>
    <row r="879" spans="5:13">
      <c r="E879" s="13" t="e">
        <v>#N/A</v>
      </c>
      <c r="F879" s="13" t="e">
        <v>#N/A</v>
      </c>
      <c r="G879" s="14" t="e">
        <v>#N/A</v>
      </c>
      <c r="H879" s="14" t="e">
        <v>#N/A</v>
      </c>
      <c r="J879" s="13" t="e">
        <v>#N/A</v>
      </c>
      <c r="K879" s="13" t="e">
        <v>#N/A</v>
      </c>
      <c r="L879" s="14" t="e">
        <v>#N/A</v>
      </c>
      <c r="M879" s="14" t="e">
        <v>#N/A</v>
      </c>
    </row>
    <row r="880" spans="5:13">
      <c r="E880" s="13" t="e">
        <v>#N/A</v>
      </c>
      <c r="F880" s="13" t="e">
        <v>#N/A</v>
      </c>
      <c r="G880" s="14" t="e">
        <v>#N/A</v>
      </c>
      <c r="H880" s="14" t="e">
        <v>#N/A</v>
      </c>
      <c r="J880" s="13" t="e">
        <v>#N/A</v>
      </c>
      <c r="K880" s="13" t="e">
        <v>#N/A</v>
      </c>
      <c r="L880" s="14" t="e">
        <v>#N/A</v>
      </c>
      <c r="M880" s="14" t="e">
        <v>#N/A</v>
      </c>
    </row>
    <row r="881" spans="5:13">
      <c r="E881" s="13" t="e">
        <v>#N/A</v>
      </c>
      <c r="F881" s="13" t="e">
        <v>#N/A</v>
      </c>
      <c r="G881" s="14" t="e">
        <v>#N/A</v>
      </c>
      <c r="H881" s="14" t="e">
        <v>#N/A</v>
      </c>
      <c r="J881" s="13" t="e">
        <v>#N/A</v>
      </c>
      <c r="K881" s="13" t="e">
        <v>#N/A</v>
      </c>
      <c r="L881" s="14" t="e">
        <v>#N/A</v>
      </c>
      <c r="M881" s="14" t="e">
        <v>#N/A</v>
      </c>
    </row>
    <row r="882" spans="5:13">
      <c r="E882" s="13" t="e">
        <v>#N/A</v>
      </c>
      <c r="F882" s="13" t="e">
        <v>#N/A</v>
      </c>
      <c r="G882" s="14" t="e">
        <v>#N/A</v>
      </c>
      <c r="H882" s="14" t="e">
        <v>#N/A</v>
      </c>
      <c r="J882" s="13" t="e">
        <v>#N/A</v>
      </c>
      <c r="K882" s="13" t="e">
        <v>#N/A</v>
      </c>
      <c r="L882" s="14" t="e">
        <v>#N/A</v>
      </c>
      <c r="M882" s="14" t="e">
        <v>#N/A</v>
      </c>
    </row>
    <row r="883" spans="5:13">
      <c r="E883" s="13" t="e">
        <v>#N/A</v>
      </c>
      <c r="F883" s="13" t="e">
        <v>#N/A</v>
      </c>
      <c r="G883" s="14" t="e">
        <v>#N/A</v>
      </c>
      <c r="H883" s="14" t="e">
        <v>#N/A</v>
      </c>
      <c r="J883" s="13" t="e">
        <v>#N/A</v>
      </c>
      <c r="K883" s="13" t="e">
        <v>#N/A</v>
      </c>
      <c r="L883" s="14" t="e">
        <v>#N/A</v>
      </c>
      <c r="M883" s="14" t="e">
        <v>#N/A</v>
      </c>
    </row>
    <row r="884" spans="5:13">
      <c r="E884" s="13" t="e">
        <v>#N/A</v>
      </c>
      <c r="F884" s="13" t="e">
        <v>#N/A</v>
      </c>
      <c r="G884" s="14" t="e">
        <v>#N/A</v>
      </c>
      <c r="H884" s="14" t="e">
        <v>#N/A</v>
      </c>
      <c r="J884" s="13" t="e">
        <v>#N/A</v>
      </c>
      <c r="K884" s="13" t="e">
        <v>#N/A</v>
      </c>
      <c r="L884" s="14" t="e">
        <v>#N/A</v>
      </c>
      <c r="M884" s="14" t="e">
        <v>#N/A</v>
      </c>
    </row>
    <row r="885" spans="5:13">
      <c r="E885" s="13" t="e">
        <v>#N/A</v>
      </c>
      <c r="F885" s="13" t="e">
        <v>#N/A</v>
      </c>
      <c r="G885" s="14" t="e">
        <v>#N/A</v>
      </c>
      <c r="H885" s="14" t="e">
        <v>#N/A</v>
      </c>
      <c r="J885" s="13" t="e">
        <v>#N/A</v>
      </c>
      <c r="K885" s="13" t="e">
        <v>#N/A</v>
      </c>
      <c r="L885" s="14" t="e">
        <v>#N/A</v>
      </c>
      <c r="M885" s="14" t="e">
        <v>#N/A</v>
      </c>
    </row>
    <row r="886" spans="5:13">
      <c r="E886" s="13" t="e">
        <v>#N/A</v>
      </c>
      <c r="F886" s="13" t="e">
        <v>#N/A</v>
      </c>
      <c r="G886" s="14" t="e">
        <v>#N/A</v>
      </c>
      <c r="H886" s="14" t="e">
        <v>#N/A</v>
      </c>
      <c r="J886" s="13" t="e">
        <v>#N/A</v>
      </c>
      <c r="K886" s="13" t="e">
        <v>#N/A</v>
      </c>
      <c r="L886" s="14" t="e">
        <v>#N/A</v>
      </c>
      <c r="M886" s="14" t="e">
        <v>#N/A</v>
      </c>
    </row>
    <row r="887" spans="5:13">
      <c r="E887" s="13" t="e">
        <v>#N/A</v>
      </c>
      <c r="F887" s="13" t="e">
        <v>#N/A</v>
      </c>
      <c r="G887" s="14" t="e">
        <v>#N/A</v>
      </c>
      <c r="H887" s="14" t="e">
        <v>#N/A</v>
      </c>
      <c r="J887" s="13" t="e">
        <v>#N/A</v>
      </c>
      <c r="K887" s="13" t="e">
        <v>#N/A</v>
      </c>
      <c r="L887" s="14" t="e">
        <v>#N/A</v>
      </c>
      <c r="M887" s="14" t="e">
        <v>#N/A</v>
      </c>
    </row>
    <row r="888" spans="5:13">
      <c r="E888" s="13" t="e">
        <v>#N/A</v>
      </c>
      <c r="F888" s="13" t="e">
        <v>#N/A</v>
      </c>
      <c r="G888" s="14" t="e">
        <v>#N/A</v>
      </c>
      <c r="H888" s="14" t="e">
        <v>#N/A</v>
      </c>
      <c r="J888" s="13" t="e">
        <v>#N/A</v>
      </c>
      <c r="K888" s="13" t="e">
        <v>#N/A</v>
      </c>
      <c r="L888" s="14" t="e">
        <v>#N/A</v>
      </c>
      <c r="M888" s="14" t="e">
        <v>#N/A</v>
      </c>
    </row>
    <row r="889" spans="5:13">
      <c r="E889" s="13" t="e">
        <v>#N/A</v>
      </c>
      <c r="F889" s="13" t="e">
        <v>#N/A</v>
      </c>
      <c r="G889" s="14" t="e">
        <v>#N/A</v>
      </c>
      <c r="H889" s="14" t="e">
        <v>#N/A</v>
      </c>
      <c r="J889" s="13" t="e">
        <v>#N/A</v>
      </c>
      <c r="K889" s="13" t="e">
        <v>#N/A</v>
      </c>
      <c r="L889" s="14" t="e">
        <v>#N/A</v>
      </c>
      <c r="M889" s="14" t="e">
        <v>#N/A</v>
      </c>
    </row>
    <row r="890" spans="5:13">
      <c r="E890" s="13" t="e">
        <v>#N/A</v>
      </c>
      <c r="F890" s="13" t="e">
        <v>#N/A</v>
      </c>
      <c r="G890" s="14" t="e">
        <v>#N/A</v>
      </c>
      <c r="H890" s="14" t="e">
        <v>#N/A</v>
      </c>
      <c r="J890" s="13" t="e">
        <v>#N/A</v>
      </c>
      <c r="K890" s="13" t="e">
        <v>#N/A</v>
      </c>
      <c r="L890" s="14" t="e">
        <v>#N/A</v>
      </c>
      <c r="M890" s="14" t="e">
        <v>#N/A</v>
      </c>
    </row>
    <row r="891" spans="5:13">
      <c r="E891" s="13" t="e">
        <v>#N/A</v>
      </c>
      <c r="F891" s="13" t="e">
        <v>#N/A</v>
      </c>
      <c r="G891" s="14" t="e">
        <v>#N/A</v>
      </c>
      <c r="H891" s="14" t="e">
        <v>#N/A</v>
      </c>
      <c r="J891" s="13" t="e">
        <v>#N/A</v>
      </c>
      <c r="K891" s="13" t="e">
        <v>#N/A</v>
      </c>
      <c r="L891" s="14" t="e">
        <v>#N/A</v>
      </c>
      <c r="M891" s="14" t="e">
        <v>#N/A</v>
      </c>
    </row>
    <row r="892" spans="5:13">
      <c r="E892" s="13" t="e">
        <v>#N/A</v>
      </c>
      <c r="F892" s="13" t="e">
        <v>#N/A</v>
      </c>
      <c r="G892" s="14" t="e">
        <v>#N/A</v>
      </c>
      <c r="H892" s="14" t="e">
        <v>#N/A</v>
      </c>
      <c r="J892" s="13" t="e">
        <v>#N/A</v>
      </c>
      <c r="K892" s="13" t="e">
        <v>#N/A</v>
      </c>
      <c r="L892" s="14" t="e">
        <v>#N/A</v>
      </c>
      <c r="M892" s="14" t="e">
        <v>#N/A</v>
      </c>
    </row>
    <row r="893" spans="5:13">
      <c r="E893" s="13" t="e">
        <v>#N/A</v>
      </c>
      <c r="F893" s="13" t="e">
        <v>#N/A</v>
      </c>
      <c r="G893" s="14" t="e">
        <v>#N/A</v>
      </c>
      <c r="H893" s="14" t="e">
        <v>#N/A</v>
      </c>
      <c r="J893" s="13" t="e">
        <v>#N/A</v>
      </c>
      <c r="K893" s="13" t="e">
        <v>#N/A</v>
      </c>
      <c r="L893" s="14" t="e">
        <v>#N/A</v>
      </c>
      <c r="M893" s="14" t="e">
        <v>#N/A</v>
      </c>
    </row>
    <row r="894" spans="5:13">
      <c r="E894" s="13" t="e">
        <v>#N/A</v>
      </c>
      <c r="F894" s="13" t="e">
        <v>#N/A</v>
      </c>
      <c r="G894" s="14" t="e">
        <v>#N/A</v>
      </c>
      <c r="H894" s="14" t="e">
        <v>#N/A</v>
      </c>
      <c r="J894" s="13" t="e">
        <v>#N/A</v>
      </c>
      <c r="K894" s="13" t="e">
        <v>#N/A</v>
      </c>
      <c r="L894" s="14" t="e">
        <v>#N/A</v>
      </c>
      <c r="M894" s="14" t="e">
        <v>#N/A</v>
      </c>
    </row>
    <row r="895" spans="5:13">
      <c r="E895" s="13" t="e">
        <v>#N/A</v>
      </c>
      <c r="F895" s="13" t="e">
        <v>#N/A</v>
      </c>
      <c r="G895" s="14" t="e">
        <v>#N/A</v>
      </c>
      <c r="H895" s="14" t="e">
        <v>#N/A</v>
      </c>
      <c r="J895" s="13" t="e">
        <v>#N/A</v>
      </c>
      <c r="K895" s="13" t="e">
        <v>#N/A</v>
      </c>
      <c r="L895" s="14" t="e">
        <v>#N/A</v>
      </c>
      <c r="M895" s="14" t="e">
        <v>#N/A</v>
      </c>
    </row>
    <row r="896" spans="5:13">
      <c r="E896" s="13" t="e">
        <v>#N/A</v>
      </c>
      <c r="F896" s="13" t="e">
        <v>#N/A</v>
      </c>
      <c r="G896" s="14" t="e">
        <v>#N/A</v>
      </c>
      <c r="H896" s="14" t="e">
        <v>#N/A</v>
      </c>
      <c r="J896" s="13" t="e">
        <v>#N/A</v>
      </c>
      <c r="K896" s="13" t="e">
        <v>#N/A</v>
      </c>
      <c r="L896" s="14" t="e">
        <v>#N/A</v>
      </c>
      <c r="M896" s="14" t="e">
        <v>#N/A</v>
      </c>
    </row>
    <row r="897" spans="5:13">
      <c r="E897" s="13" t="e">
        <v>#N/A</v>
      </c>
      <c r="F897" s="13" t="e">
        <v>#N/A</v>
      </c>
      <c r="G897" s="14" t="e">
        <v>#N/A</v>
      </c>
      <c r="H897" s="14" t="e">
        <v>#N/A</v>
      </c>
      <c r="J897" s="13" t="e">
        <v>#N/A</v>
      </c>
      <c r="K897" s="13" t="e">
        <v>#N/A</v>
      </c>
      <c r="L897" s="14" t="e">
        <v>#N/A</v>
      </c>
      <c r="M897" s="14" t="e">
        <v>#N/A</v>
      </c>
    </row>
    <row r="898" spans="5:13">
      <c r="E898" s="13" t="e">
        <v>#N/A</v>
      </c>
      <c r="F898" s="13" t="e">
        <v>#N/A</v>
      </c>
      <c r="G898" s="14" t="e">
        <v>#N/A</v>
      </c>
      <c r="H898" s="14" t="e">
        <v>#N/A</v>
      </c>
      <c r="J898" s="13" t="e">
        <v>#N/A</v>
      </c>
      <c r="K898" s="13" t="e">
        <v>#N/A</v>
      </c>
      <c r="L898" s="14" t="e">
        <v>#N/A</v>
      </c>
      <c r="M898" s="14" t="e">
        <v>#N/A</v>
      </c>
    </row>
    <row r="899" spans="5:13">
      <c r="E899" s="13" t="e">
        <v>#N/A</v>
      </c>
      <c r="F899" s="13" t="e">
        <v>#N/A</v>
      </c>
      <c r="G899" s="14" t="e">
        <v>#N/A</v>
      </c>
      <c r="H899" s="14" t="e">
        <v>#N/A</v>
      </c>
      <c r="J899" s="13" t="e">
        <v>#N/A</v>
      </c>
      <c r="K899" s="13" t="e">
        <v>#N/A</v>
      </c>
      <c r="L899" s="14" t="e">
        <v>#N/A</v>
      </c>
      <c r="M899" s="14" t="e">
        <v>#N/A</v>
      </c>
    </row>
    <row r="900" spans="5:13">
      <c r="E900" s="13" t="e">
        <v>#N/A</v>
      </c>
      <c r="F900" s="13" t="e">
        <v>#N/A</v>
      </c>
      <c r="G900" s="14" t="e">
        <v>#N/A</v>
      </c>
      <c r="H900" s="14" t="e">
        <v>#N/A</v>
      </c>
      <c r="J900" s="13" t="e">
        <v>#N/A</v>
      </c>
      <c r="K900" s="13" t="e">
        <v>#N/A</v>
      </c>
      <c r="L900" s="14" t="e">
        <v>#N/A</v>
      </c>
      <c r="M900" s="14" t="e">
        <v>#N/A</v>
      </c>
    </row>
    <row r="901" spans="5:13">
      <c r="E901" s="13" t="e">
        <v>#N/A</v>
      </c>
      <c r="F901" s="13" t="e">
        <v>#N/A</v>
      </c>
      <c r="G901" s="14" t="e">
        <v>#N/A</v>
      </c>
      <c r="H901" s="14" t="e">
        <v>#N/A</v>
      </c>
      <c r="J901" s="13" t="e">
        <v>#N/A</v>
      </c>
      <c r="K901" s="13" t="e">
        <v>#N/A</v>
      </c>
      <c r="L901" s="14" t="e">
        <v>#N/A</v>
      </c>
      <c r="M901" s="14" t="e">
        <v>#N/A</v>
      </c>
    </row>
    <row r="902" spans="5:13">
      <c r="E902" s="13" t="e">
        <v>#N/A</v>
      </c>
      <c r="F902" s="13" t="e">
        <v>#N/A</v>
      </c>
      <c r="G902" s="14" t="e">
        <v>#N/A</v>
      </c>
      <c r="H902" s="14" t="e">
        <v>#N/A</v>
      </c>
      <c r="J902" s="13" t="e">
        <v>#N/A</v>
      </c>
      <c r="K902" s="13" t="e">
        <v>#N/A</v>
      </c>
      <c r="L902" s="14" t="e">
        <v>#N/A</v>
      </c>
      <c r="M902" s="14" t="e">
        <v>#N/A</v>
      </c>
    </row>
    <row r="903" spans="5:13">
      <c r="E903" s="13" t="e">
        <v>#N/A</v>
      </c>
      <c r="F903" s="13" t="e">
        <v>#N/A</v>
      </c>
      <c r="G903" s="14" t="e">
        <v>#N/A</v>
      </c>
      <c r="H903" s="14" t="e">
        <v>#N/A</v>
      </c>
      <c r="J903" s="13" t="e">
        <v>#N/A</v>
      </c>
      <c r="K903" s="13" t="e">
        <v>#N/A</v>
      </c>
      <c r="L903" s="14" t="e">
        <v>#N/A</v>
      </c>
      <c r="M903" s="14" t="e">
        <v>#N/A</v>
      </c>
    </row>
    <row r="904" spans="5:13">
      <c r="E904" s="13" t="e">
        <v>#N/A</v>
      </c>
      <c r="F904" s="13" t="e">
        <v>#N/A</v>
      </c>
      <c r="G904" s="14" t="e">
        <v>#N/A</v>
      </c>
      <c r="H904" s="14" t="e">
        <v>#N/A</v>
      </c>
      <c r="J904" s="13" t="e">
        <v>#N/A</v>
      </c>
      <c r="K904" s="13" t="e">
        <v>#N/A</v>
      </c>
      <c r="L904" s="14" t="e">
        <v>#N/A</v>
      </c>
      <c r="M904" s="14" t="e">
        <v>#N/A</v>
      </c>
    </row>
    <row r="905" spans="5:13">
      <c r="E905" s="13" t="e">
        <v>#N/A</v>
      </c>
      <c r="F905" s="13" t="e">
        <v>#N/A</v>
      </c>
      <c r="G905" s="14" t="e">
        <v>#N/A</v>
      </c>
      <c r="H905" s="14" t="e">
        <v>#N/A</v>
      </c>
      <c r="J905" s="13" t="e">
        <v>#N/A</v>
      </c>
      <c r="K905" s="13" t="e">
        <v>#N/A</v>
      </c>
      <c r="L905" s="14" t="e">
        <v>#N/A</v>
      </c>
      <c r="M905" s="14" t="e">
        <v>#N/A</v>
      </c>
    </row>
    <row r="906" spans="5:13">
      <c r="E906" s="13" t="e">
        <v>#N/A</v>
      </c>
      <c r="F906" s="13" t="e">
        <v>#N/A</v>
      </c>
      <c r="G906" s="14" t="e">
        <v>#N/A</v>
      </c>
      <c r="H906" s="14" t="e">
        <v>#N/A</v>
      </c>
      <c r="J906" s="13" t="e">
        <v>#N/A</v>
      </c>
      <c r="K906" s="13" t="e">
        <v>#N/A</v>
      </c>
      <c r="L906" s="14" t="e">
        <v>#N/A</v>
      </c>
      <c r="M906" s="14" t="e">
        <v>#N/A</v>
      </c>
    </row>
    <row r="907" spans="5:13">
      <c r="E907" s="13" t="e">
        <v>#N/A</v>
      </c>
      <c r="F907" s="13" t="e">
        <v>#N/A</v>
      </c>
      <c r="G907" s="14" t="e">
        <v>#N/A</v>
      </c>
      <c r="H907" s="14" t="e">
        <v>#N/A</v>
      </c>
      <c r="J907" s="13" t="e">
        <v>#N/A</v>
      </c>
      <c r="K907" s="13" t="e">
        <v>#N/A</v>
      </c>
      <c r="L907" s="14" t="e">
        <v>#N/A</v>
      </c>
      <c r="M907" s="14" t="e">
        <v>#N/A</v>
      </c>
    </row>
    <row r="908" spans="5:13">
      <c r="E908" s="13" t="e">
        <v>#N/A</v>
      </c>
      <c r="F908" s="13" t="e">
        <v>#N/A</v>
      </c>
      <c r="G908" s="14" t="e">
        <v>#N/A</v>
      </c>
      <c r="H908" s="14" t="e">
        <v>#N/A</v>
      </c>
      <c r="J908" s="13" t="e">
        <v>#N/A</v>
      </c>
      <c r="K908" s="13" t="e">
        <v>#N/A</v>
      </c>
      <c r="L908" s="14" t="e">
        <v>#N/A</v>
      </c>
      <c r="M908" s="14" t="e">
        <v>#N/A</v>
      </c>
    </row>
    <row r="909" spans="5:13">
      <c r="E909" s="13" t="e">
        <v>#N/A</v>
      </c>
      <c r="F909" s="13" t="e">
        <v>#N/A</v>
      </c>
      <c r="G909" s="14" t="e">
        <v>#N/A</v>
      </c>
      <c r="H909" s="14" t="e">
        <v>#N/A</v>
      </c>
      <c r="J909" s="13" t="e">
        <v>#N/A</v>
      </c>
      <c r="K909" s="13" t="e">
        <v>#N/A</v>
      </c>
      <c r="L909" s="14" t="e">
        <v>#N/A</v>
      </c>
      <c r="M909" s="14" t="e">
        <v>#N/A</v>
      </c>
    </row>
    <row r="910" spans="5:13">
      <c r="E910" s="13" t="e">
        <v>#N/A</v>
      </c>
      <c r="F910" s="13" t="e">
        <v>#N/A</v>
      </c>
      <c r="G910" s="14" t="e">
        <v>#N/A</v>
      </c>
      <c r="H910" s="14" t="e">
        <v>#N/A</v>
      </c>
      <c r="J910" s="13" t="e">
        <v>#N/A</v>
      </c>
      <c r="K910" s="13" t="e">
        <v>#N/A</v>
      </c>
      <c r="L910" s="14" t="e">
        <v>#N/A</v>
      </c>
      <c r="M910" s="14" t="e">
        <v>#N/A</v>
      </c>
    </row>
    <row r="911" spans="5:13">
      <c r="E911" s="13" t="e">
        <v>#N/A</v>
      </c>
      <c r="F911" s="13" t="e">
        <v>#N/A</v>
      </c>
      <c r="G911" s="14" t="e">
        <v>#N/A</v>
      </c>
      <c r="H911" s="14" t="e">
        <v>#N/A</v>
      </c>
      <c r="J911" s="13" t="e">
        <v>#N/A</v>
      </c>
      <c r="K911" s="13" t="e">
        <v>#N/A</v>
      </c>
      <c r="L911" s="14" t="e">
        <v>#N/A</v>
      </c>
      <c r="M911" s="14" t="e">
        <v>#N/A</v>
      </c>
    </row>
    <row r="912" spans="5:13">
      <c r="E912" s="13" t="e">
        <v>#N/A</v>
      </c>
      <c r="F912" s="13" t="e">
        <v>#N/A</v>
      </c>
      <c r="G912" s="14" t="e">
        <v>#N/A</v>
      </c>
      <c r="H912" s="14" t="e">
        <v>#N/A</v>
      </c>
      <c r="J912" s="13" t="e">
        <v>#N/A</v>
      </c>
      <c r="K912" s="13" t="e">
        <v>#N/A</v>
      </c>
      <c r="L912" s="14" t="e">
        <v>#N/A</v>
      </c>
      <c r="M912" s="14" t="e">
        <v>#N/A</v>
      </c>
    </row>
    <row r="913" spans="5:13">
      <c r="E913" s="13" t="e">
        <v>#N/A</v>
      </c>
      <c r="F913" s="13" t="e">
        <v>#N/A</v>
      </c>
      <c r="G913" s="14" t="e">
        <v>#N/A</v>
      </c>
      <c r="H913" s="14" t="e">
        <v>#N/A</v>
      </c>
      <c r="J913" s="13" t="e">
        <v>#N/A</v>
      </c>
      <c r="K913" s="13" t="e">
        <v>#N/A</v>
      </c>
      <c r="L913" s="14" t="e">
        <v>#N/A</v>
      </c>
      <c r="M913" s="14" t="e">
        <v>#N/A</v>
      </c>
    </row>
    <row r="914" spans="5:13">
      <c r="E914" s="13" t="e">
        <v>#N/A</v>
      </c>
      <c r="F914" s="13" t="e">
        <v>#N/A</v>
      </c>
      <c r="G914" s="14" t="e">
        <v>#N/A</v>
      </c>
      <c r="H914" s="14" t="e">
        <v>#N/A</v>
      </c>
      <c r="J914" s="13" t="e">
        <v>#N/A</v>
      </c>
      <c r="K914" s="13" t="e">
        <v>#N/A</v>
      </c>
      <c r="L914" s="14" t="e">
        <v>#N/A</v>
      </c>
      <c r="M914" s="14" t="e">
        <v>#N/A</v>
      </c>
    </row>
    <row r="915" spans="5:13">
      <c r="E915" s="13" t="e">
        <v>#N/A</v>
      </c>
      <c r="F915" s="13" t="e">
        <v>#N/A</v>
      </c>
      <c r="G915" s="14" t="e">
        <v>#N/A</v>
      </c>
      <c r="H915" s="14" t="e">
        <v>#N/A</v>
      </c>
      <c r="J915" s="13" t="e">
        <v>#N/A</v>
      </c>
      <c r="K915" s="13" t="e">
        <v>#N/A</v>
      </c>
      <c r="L915" s="14" t="e">
        <v>#N/A</v>
      </c>
      <c r="M915" s="14" t="e">
        <v>#N/A</v>
      </c>
    </row>
    <row r="916" spans="5:13">
      <c r="E916" s="13" t="e">
        <v>#N/A</v>
      </c>
      <c r="F916" s="13" t="e">
        <v>#N/A</v>
      </c>
      <c r="G916" s="14" t="e">
        <v>#N/A</v>
      </c>
      <c r="H916" s="14" t="e">
        <v>#N/A</v>
      </c>
      <c r="J916" s="13" t="e">
        <v>#N/A</v>
      </c>
      <c r="K916" s="13" t="e">
        <v>#N/A</v>
      </c>
      <c r="L916" s="14" t="e">
        <v>#N/A</v>
      </c>
      <c r="M916" s="14" t="e">
        <v>#N/A</v>
      </c>
    </row>
    <row r="917" spans="5:13">
      <c r="E917" s="13" t="e">
        <v>#N/A</v>
      </c>
      <c r="F917" s="13" t="e">
        <v>#N/A</v>
      </c>
      <c r="G917" s="14" t="e">
        <v>#N/A</v>
      </c>
      <c r="H917" s="14" t="e">
        <v>#N/A</v>
      </c>
      <c r="J917" s="13" t="e">
        <v>#N/A</v>
      </c>
      <c r="K917" s="13" t="e">
        <v>#N/A</v>
      </c>
      <c r="L917" s="14" t="e">
        <v>#N/A</v>
      </c>
      <c r="M917" s="14" t="e">
        <v>#N/A</v>
      </c>
    </row>
    <row r="918" spans="5:13">
      <c r="E918" s="13" t="e">
        <v>#N/A</v>
      </c>
      <c r="F918" s="13" t="e">
        <v>#N/A</v>
      </c>
      <c r="G918" s="14" t="e">
        <v>#N/A</v>
      </c>
      <c r="H918" s="14" t="e">
        <v>#N/A</v>
      </c>
      <c r="J918" s="13" t="e">
        <v>#N/A</v>
      </c>
      <c r="K918" s="13" t="e">
        <v>#N/A</v>
      </c>
      <c r="L918" s="14" t="e">
        <v>#N/A</v>
      </c>
      <c r="M918" s="14" t="e">
        <v>#N/A</v>
      </c>
    </row>
    <row r="919" spans="5:13">
      <c r="E919" s="13" t="e">
        <v>#N/A</v>
      </c>
      <c r="F919" s="13" t="e">
        <v>#N/A</v>
      </c>
      <c r="G919" s="14" t="e">
        <v>#N/A</v>
      </c>
      <c r="H919" s="14" t="e">
        <v>#N/A</v>
      </c>
      <c r="J919" s="13" t="e">
        <v>#N/A</v>
      </c>
      <c r="K919" s="13" t="e">
        <v>#N/A</v>
      </c>
      <c r="L919" s="14" t="e">
        <v>#N/A</v>
      </c>
      <c r="M919" s="14" t="e">
        <v>#N/A</v>
      </c>
    </row>
    <row r="920" spans="5:13">
      <c r="E920" s="13" t="e">
        <v>#N/A</v>
      </c>
      <c r="F920" s="13" t="e">
        <v>#N/A</v>
      </c>
      <c r="G920" s="14" t="e">
        <v>#N/A</v>
      </c>
      <c r="H920" s="14" t="e">
        <v>#N/A</v>
      </c>
      <c r="J920" s="13" t="e">
        <v>#N/A</v>
      </c>
      <c r="K920" s="13" t="e">
        <v>#N/A</v>
      </c>
      <c r="L920" s="14" t="e">
        <v>#N/A</v>
      </c>
      <c r="M920" s="14" t="e">
        <v>#N/A</v>
      </c>
    </row>
    <row r="921" spans="5:13">
      <c r="E921" s="13" t="e">
        <v>#N/A</v>
      </c>
      <c r="F921" s="13" t="e">
        <v>#N/A</v>
      </c>
      <c r="G921" s="14" t="e">
        <v>#N/A</v>
      </c>
      <c r="H921" s="14" t="e">
        <v>#N/A</v>
      </c>
      <c r="J921" s="13" t="e">
        <v>#N/A</v>
      </c>
      <c r="K921" s="13" t="e">
        <v>#N/A</v>
      </c>
      <c r="L921" s="14" t="e">
        <v>#N/A</v>
      </c>
      <c r="M921" s="14" t="e">
        <v>#N/A</v>
      </c>
    </row>
    <row r="922" spans="5:13">
      <c r="E922" s="13" t="e">
        <v>#N/A</v>
      </c>
      <c r="F922" s="13" t="e">
        <v>#N/A</v>
      </c>
      <c r="G922" s="14" t="e">
        <v>#N/A</v>
      </c>
      <c r="H922" s="14" t="e">
        <v>#N/A</v>
      </c>
      <c r="J922" s="13" t="e">
        <v>#N/A</v>
      </c>
      <c r="K922" s="13" t="e">
        <v>#N/A</v>
      </c>
      <c r="L922" s="14" t="e">
        <v>#N/A</v>
      </c>
      <c r="M922" s="14" t="e">
        <v>#N/A</v>
      </c>
    </row>
    <row r="923" spans="5:13">
      <c r="E923" s="13" t="e">
        <v>#N/A</v>
      </c>
      <c r="F923" s="13" t="e">
        <v>#N/A</v>
      </c>
      <c r="G923" s="14" t="e">
        <v>#N/A</v>
      </c>
      <c r="H923" s="14" t="e">
        <v>#N/A</v>
      </c>
      <c r="J923" s="13" t="e">
        <v>#N/A</v>
      </c>
      <c r="K923" s="13" t="e">
        <v>#N/A</v>
      </c>
      <c r="L923" s="14" t="e">
        <v>#N/A</v>
      </c>
      <c r="M923" s="14" t="e">
        <v>#N/A</v>
      </c>
    </row>
    <row r="924" spans="5:13">
      <c r="E924" s="13" t="e">
        <v>#N/A</v>
      </c>
      <c r="F924" s="13" t="e">
        <v>#N/A</v>
      </c>
      <c r="G924" s="14" t="e">
        <v>#N/A</v>
      </c>
      <c r="H924" s="14" t="e">
        <v>#N/A</v>
      </c>
      <c r="J924" s="13" t="e">
        <v>#N/A</v>
      </c>
      <c r="K924" s="13" t="e">
        <v>#N/A</v>
      </c>
      <c r="L924" s="14" t="e">
        <v>#N/A</v>
      </c>
      <c r="M924" s="14" t="e">
        <v>#N/A</v>
      </c>
    </row>
    <row r="925" spans="5:13">
      <c r="E925" s="13" t="e">
        <v>#N/A</v>
      </c>
      <c r="F925" s="13" t="e">
        <v>#N/A</v>
      </c>
      <c r="G925" s="14" t="e">
        <v>#N/A</v>
      </c>
      <c r="H925" s="14" t="e">
        <v>#N/A</v>
      </c>
      <c r="J925" s="13" t="e">
        <v>#N/A</v>
      </c>
      <c r="K925" s="13" t="e">
        <v>#N/A</v>
      </c>
      <c r="L925" s="14" t="e">
        <v>#N/A</v>
      </c>
      <c r="M925" s="14" t="e">
        <v>#N/A</v>
      </c>
    </row>
    <row r="926" spans="5:13">
      <c r="E926" s="13" t="e">
        <v>#N/A</v>
      </c>
      <c r="F926" s="13" t="e">
        <v>#N/A</v>
      </c>
      <c r="G926" s="14" t="e">
        <v>#N/A</v>
      </c>
      <c r="H926" s="14" t="e">
        <v>#N/A</v>
      </c>
      <c r="J926" s="13" t="e">
        <v>#N/A</v>
      </c>
      <c r="K926" s="13" t="e">
        <v>#N/A</v>
      </c>
      <c r="L926" s="14" t="e">
        <v>#N/A</v>
      </c>
      <c r="M926" s="14" t="e">
        <v>#N/A</v>
      </c>
    </row>
    <row r="927" spans="5:13">
      <c r="E927" s="13" t="e">
        <v>#N/A</v>
      </c>
      <c r="F927" s="13" t="e">
        <v>#N/A</v>
      </c>
      <c r="G927" s="14" t="e">
        <v>#N/A</v>
      </c>
      <c r="H927" s="14" t="e">
        <v>#N/A</v>
      </c>
      <c r="J927" s="13" t="e">
        <v>#N/A</v>
      </c>
      <c r="K927" s="13" t="e">
        <v>#N/A</v>
      </c>
      <c r="L927" s="14" t="e">
        <v>#N/A</v>
      </c>
      <c r="M927" s="14" t="e">
        <v>#N/A</v>
      </c>
    </row>
    <row r="928" spans="5:13">
      <c r="E928" s="13" t="e">
        <v>#N/A</v>
      </c>
      <c r="F928" s="13" t="e">
        <v>#N/A</v>
      </c>
      <c r="G928" s="14" t="e">
        <v>#N/A</v>
      </c>
      <c r="H928" s="14" t="e">
        <v>#N/A</v>
      </c>
      <c r="J928" s="13" t="e">
        <v>#N/A</v>
      </c>
      <c r="K928" s="13" t="e">
        <v>#N/A</v>
      </c>
      <c r="L928" s="14" t="e">
        <v>#N/A</v>
      </c>
      <c r="M928" s="14" t="e">
        <v>#N/A</v>
      </c>
    </row>
    <row r="929" spans="5:13">
      <c r="E929" s="13" t="e">
        <v>#N/A</v>
      </c>
      <c r="F929" s="13" t="e">
        <v>#N/A</v>
      </c>
      <c r="G929" s="14" t="e">
        <v>#N/A</v>
      </c>
      <c r="H929" s="14" t="e">
        <v>#N/A</v>
      </c>
      <c r="J929" s="13" t="e">
        <v>#N/A</v>
      </c>
      <c r="K929" s="13" t="e">
        <v>#N/A</v>
      </c>
      <c r="L929" s="14" t="e">
        <v>#N/A</v>
      </c>
      <c r="M929" s="14" t="e">
        <v>#N/A</v>
      </c>
    </row>
    <row r="930" spans="5:13">
      <c r="E930" s="13" t="e">
        <v>#N/A</v>
      </c>
      <c r="F930" s="13" t="e">
        <v>#N/A</v>
      </c>
      <c r="G930" s="14" t="e">
        <v>#N/A</v>
      </c>
      <c r="H930" s="14" t="e">
        <v>#N/A</v>
      </c>
      <c r="J930" s="13" t="e">
        <v>#N/A</v>
      </c>
      <c r="K930" s="13" t="e">
        <v>#N/A</v>
      </c>
      <c r="L930" s="14" t="e">
        <v>#N/A</v>
      </c>
      <c r="M930" s="14" t="e">
        <v>#N/A</v>
      </c>
    </row>
    <row r="931" spans="5:13">
      <c r="E931" s="13" t="e">
        <v>#N/A</v>
      </c>
      <c r="F931" s="13" t="e">
        <v>#N/A</v>
      </c>
      <c r="G931" s="14" t="e">
        <v>#N/A</v>
      </c>
      <c r="H931" s="14" t="e">
        <v>#N/A</v>
      </c>
      <c r="J931" s="13" t="e">
        <v>#N/A</v>
      </c>
      <c r="K931" s="13" t="e">
        <v>#N/A</v>
      </c>
      <c r="L931" s="14" t="e">
        <v>#N/A</v>
      </c>
      <c r="M931" s="14" t="e">
        <v>#N/A</v>
      </c>
    </row>
    <row r="932" spans="5:13">
      <c r="E932" s="13" t="e">
        <v>#N/A</v>
      </c>
      <c r="F932" s="13" t="e">
        <v>#N/A</v>
      </c>
      <c r="G932" s="14" t="e">
        <v>#N/A</v>
      </c>
      <c r="H932" s="14" t="e">
        <v>#N/A</v>
      </c>
      <c r="J932" s="13" t="e">
        <v>#N/A</v>
      </c>
      <c r="K932" s="13" t="e">
        <v>#N/A</v>
      </c>
      <c r="L932" s="14" t="e">
        <v>#N/A</v>
      </c>
      <c r="M932" s="14" t="e">
        <v>#N/A</v>
      </c>
    </row>
    <row r="933" spans="5:13">
      <c r="E933" s="13" t="e">
        <v>#N/A</v>
      </c>
      <c r="F933" s="13" t="e">
        <v>#N/A</v>
      </c>
      <c r="G933" s="14" t="e">
        <v>#N/A</v>
      </c>
      <c r="H933" s="14" t="e">
        <v>#N/A</v>
      </c>
      <c r="J933" s="13" t="e">
        <v>#N/A</v>
      </c>
      <c r="K933" s="13" t="e">
        <v>#N/A</v>
      </c>
      <c r="L933" s="14" t="e">
        <v>#N/A</v>
      </c>
      <c r="M933" s="14" t="e">
        <v>#N/A</v>
      </c>
    </row>
    <row r="934" spans="5:13">
      <c r="E934" s="13" t="e">
        <v>#N/A</v>
      </c>
      <c r="F934" s="13" t="e">
        <v>#N/A</v>
      </c>
      <c r="G934" s="14" t="e">
        <v>#N/A</v>
      </c>
      <c r="H934" s="14" t="e">
        <v>#N/A</v>
      </c>
      <c r="J934" s="13" t="e">
        <v>#N/A</v>
      </c>
      <c r="K934" s="13" t="e">
        <v>#N/A</v>
      </c>
      <c r="L934" s="14" t="e">
        <v>#N/A</v>
      </c>
      <c r="M934" s="14" t="e">
        <v>#N/A</v>
      </c>
    </row>
    <row r="935" spans="5:13">
      <c r="E935" s="13" t="e">
        <v>#N/A</v>
      </c>
      <c r="F935" s="13" t="e">
        <v>#N/A</v>
      </c>
      <c r="G935" s="14" t="e">
        <v>#N/A</v>
      </c>
      <c r="H935" s="14" t="e">
        <v>#N/A</v>
      </c>
      <c r="J935" s="13" t="e">
        <v>#N/A</v>
      </c>
      <c r="K935" s="13" t="e">
        <v>#N/A</v>
      </c>
      <c r="L935" s="14" t="e">
        <v>#N/A</v>
      </c>
      <c r="M935" s="14" t="e">
        <v>#N/A</v>
      </c>
    </row>
    <row r="936" spans="5:13">
      <c r="E936" s="13" t="e">
        <v>#N/A</v>
      </c>
      <c r="F936" s="13" t="e">
        <v>#N/A</v>
      </c>
      <c r="G936" s="14" t="e">
        <v>#N/A</v>
      </c>
      <c r="H936" s="14" t="e">
        <v>#N/A</v>
      </c>
      <c r="J936" s="13" t="e">
        <v>#N/A</v>
      </c>
      <c r="K936" s="13" t="e">
        <v>#N/A</v>
      </c>
      <c r="L936" s="14" t="e">
        <v>#N/A</v>
      </c>
      <c r="M936" s="14" t="e">
        <v>#N/A</v>
      </c>
    </row>
    <row r="937" spans="5:13">
      <c r="E937" s="13" t="e">
        <v>#N/A</v>
      </c>
      <c r="F937" s="13" t="e">
        <v>#N/A</v>
      </c>
      <c r="G937" s="14" t="e">
        <v>#N/A</v>
      </c>
      <c r="H937" s="14" t="e">
        <v>#N/A</v>
      </c>
      <c r="J937" s="13" t="e">
        <v>#N/A</v>
      </c>
      <c r="K937" s="13" t="e">
        <v>#N/A</v>
      </c>
      <c r="L937" s="14" t="e">
        <v>#N/A</v>
      </c>
      <c r="M937" s="14" t="e">
        <v>#N/A</v>
      </c>
    </row>
    <row r="938" spans="5:13">
      <c r="E938" s="13" t="e">
        <v>#N/A</v>
      </c>
      <c r="F938" s="13" t="e">
        <v>#N/A</v>
      </c>
      <c r="G938" s="14" t="e">
        <v>#N/A</v>
      </c>
      <c r="H938" s="14" t="e">
        <v>#N/A</v>
      </c>
      <c r="J938" s="13" t="e">
        <v>#N/A</v>
      </c>
      <c r="K938" s="13" t="e">
        <v>#N/A</v>
      </c>
      <c r="L938" s="14" t="e">
        <v>#N/A</v>
      </c>
      <c r="M938" s="14" t="e">
        <v>#N/A</v>
      </c>
    </row>
    <row r="939" spans="5:13">
      <c r="E939" s="13" t="e">
        <v>#N/A</v>
      </c>
      <c r="F939" s="13" t="e">
        <v>#N/A</v>
      </c>
      <c r="G939" s="14" t="e">
        <v>#N/A</v>
      </c>
      <c r="H939" s="14" t="e">
        <v>#N/A</v>
      </c>
      <c r="J939" s="13" t="e">
        <v>#N/A</v>
      </c>
      <c r="K939" s="13" t="e">
        <v>#N/A</v>
      </c>
      <c r="L939" s="14" t="e">
        <v>#N/A</v>
      </c>
      <c r="M939" s="14" t="e">
        <v>#N/A</v>
      </c>
    </row>
    <row r="940" spans="5:13">
      <c r="E940" s="13" t="e">
        <v>#N/A</v>
      </c>
      <c r="F940" s="13" t="e">
        <v>#N/A</v>
      </c>
      <c r="G940" s="14" t="e">
        <v>#N/A</v>
      </c>
      <c r="H940" s="14" t="e">
        <v>#N/A</v>
      </c>
      <c r="J940" s="13" t="e">
        <v>#N/A</v>
      </c>
      <c r="K940" s="13" t="e">
        <v>#N/A</v>
      </c>
      <c r="L940" s="14" t="e">
        <v>#N/A</v>
      </c>
      <c r="M940" s="14" t="e">
        <v>#N/A</v>
      </c>
    </row>
    <row r="941" spans="5:13">
      <c r="E941" s="13" t="e">
        <v>#N/A</v>
      </c>
      <c r="F941" s="13" t="e">
        <v>#N/A</v>
      </c>
      <c r="G941" s="14" t="e">
        <v>#N/A</v>
      </c>
      <c r="H941" s="14" t="e">
        <v>#N/A</v>
      </c>
      <c r="J941" s="13" t="e">
        <v>#N/A</v>
      </c>
      <c r="K941" s="13" t="e">
        <v>#N/A</v>
      </c>
      <c r="L941" s="14" t="e">
        <v>#N/A</v>
      </c>
      <c r="M941" s="14" t="e">
        <v>#N/A</v>
      </c>
    </row>
    <row r="942" spans="5:13">
      <c r="E942" s="13" t="e">
        <v>#N/A</v>
      </c>
      <c r="F942" s="13" t="e">
        <v>#N/A</v>
      </c>
      <c r="G942" s="14" t="e">
        <v>#N/A</v>
      </c>
      <c r="H942" s="14" t="e">
        <v>#N/A</v>
      </c>
      <c r="J942" s="13" t="e">
        <v>#N/A</v>
      </c>
      <c r="K942" s="13" t="e">
        <v>#N/A</v>
      </c>
      <c r="L942" s="14" t="e">
        <v>#N/A</v>
      </c>
      <c r="M942" s="14" t="e">
        <v>#N/A</v>
      </c>
    </row>
    <row r="943" spans="5:13">
      <c r="E943" s="13" t="e">
        <v>#N/A</v>
      </c>
      <c r="F943" s="13" t="e">
        <v>#N/A</v>
      </c>
      <c r="G943" s="14" t="e">
        <v>#N/A</v>
      </c>
      <c r="H943" s="14" t="e">
        <v>#N/A</v>
      </c>
      <c r="J943" s="13" t="e">
        <v>#N/A</v>
      </c>
      <c r="K943" s="13" t="e">
        <v>#N/A</v>
      </c>
      <c r="L943" s="14" t="e">
        <v>#N/A</v>
      </c>
      <c r="M943" s="14" t="e">
        <v>#N/A</v>
      </c>
    </row>
    <row r="944" spans="5:13">
      <c r="E944" s="13" t="e">
        <v>#N/A</v>
      </c>
      <c r="F944" s="13" t="e">
        <v>#N/A</v>
      </c>
      <c r="G944" s="14" t="e">
        <v>#N/A</v>
      </c>
      <c r="H944" s="14" t="e">
        <v>#N/A</v>
      </c>
      <c r="J944" s="13" t="e">
        <v>#N/A</v>
      </c>
      <c r="K944" s="13" t="e">
        <v>#N/A</v>
      </c>
      <c r="L944" s="14" t="e">
        <v>#N/A</v>
      </c>
      <c r="M944" s="14" t="e">
        <v>#N/A</v>
      </c>
    </row>
    <row r="945" spans="5:13">
      <c r="E945" s="13" t="e">
        <v>#N/A</v>
      </c>
      <c r="F945" s="13" t="e">
        <v>#N/A</v>
      </c>
      <c r="G945" s="14" t="e">
        <v>#N/A</v>
      </c>
      <c r="H945" s="14" t="e">
        <v>#N/A</v>
      </c>
      <c r="J945" s="13" t="e">
        <v>#N/A</v>
      </c>
      <c r="K945" s="13" t="e">
        <v>#N/A</v>
      </c>
      <c r="L945" s="14" t="e">
        <v>#N/A</v>
      </c>
      <c r="M945" s="14" t="e">
        <v>#N/A</v>
      </c>
    </row>
    <row r="946" spans="5:13">
      <c r="E946" s="13" t="e">
        <v>#N/A</v>
      </c>
      <c r="F946" s="13" t="e">
        <v>#N/A</v>
      </c>
      <c r="G946" s="14" t="e">
        <v>#N/A</v>
      </c>
      <c r="H946" s="14" t="e">
        <v>#N/A</v>
      </c>
      <c r="J946" s="13" t="e">
        <v>#N/A</v>
      </c>
      <c r="K946" s="13" t="e">
        <v>#N/A</v>
      </c>
      <c r="L946" s="14" t="e">
        <v>#N/A</v>
      </c>
      <c r="M946" s="14" t="e">
        <v>#N/A</v>
      </c>
    </row>
    <row r="947" spans="5:13">
      <c r="E947" s="13" t="e">
        <v>#N/A</v>
      </c>
      <c r="F947" s="13" t="e">
        <v>#N/A</v>
      </c>
      <c r="G947" s="14" t="e">
        <v>#N/A</v>
      </c>
      <c r="H947" s="14" t="e">
        <v>#N/A</v>
      </c>
      <c r="J947" s="13" t="e">
        <v>#N/A</v>
      </c>
      <c r="K947" s="13" t="e">
        <v>#N/A</v>
      </c>
      <c r="L947" s="14" t="e">
        <v>#N/A</v>
      </c>
      <c r="M947" s="14" t="e">
        <v>#N/A</v>
      </c>
    </row>
    <row r="948" spans="5:13">
      <c r="E948" s="13" t="e">
        <v>#N/A</v>
      </c>
      <c r="F948" s="13" t="e">
        <v>#N/A</v>
      </c>
      <c r="G948" s="14" t="e">
        <v>#N/A</v>
      </c>
      <c r="H948" s="14" t="e">
        <v>#N/A</v>
      </c>
      <c r="J948" s="13" t="e">
        <v>#N/A</v>
      </c>
      <c r="K948" s="13" t="e">
        <v>#N/A</v>
      </c>
      <c r="L948" s="14" t="e">
        <v>#N/A</v>
      </c>
      <c r="M948" s="14" t="e">
        <v>#N/A</v>
      </c>
    </row>
    <row r="949" spans="5:13">
      <c r="E949" s="13" t="e">
        <v>#N/A</v>
      </c>
      <c r="F949" s="13" t="e">
        <v>#N/A</v>
      </c>
      <c r="G949" s="14" t="e">
        <v>#N/A</v>
      </c>
      <c r="H949" s="14" t="e">
        <v>#N/A</v>
      </c>
      <c r="J949" s="13" t="e">
        <v>#N/A</v>
      </c>
      <c r="K949" s="13" t="e">
        <v>#N/A</v>
      </c>
      <c r="L949" s="14" t="e">
        <v>#N/A</v>
      </c>
      <c r="M949" s="14" t="e">
        <v>#N/A</v>
      </c>
    </row>
    <row r="950" spans="5:13">
      <c r="E950" s="13" t="e">
        <v>#N/A</v>
      </c>
      <c r="F950" s="13" t="e">
        <v>#N/A</v>
      </c>
      <c r="G950" s="14" t="e">
        <v>#N/A</v>
      </c>
      <c r="H950" s="14" t="e">
        <v>#N/A</v>
      </c>
      <c r="J950" s="13" t="e">
        <v>#N/A</v>
      </c>
      <c r="K950" s="13" t="e">
        <v>#N/A</v>
      </c>
      <c r="L950" s="14" t="e">
        <v>#N/A</v>
      </c>
      <c r="M950" s="14" t="e">
        <v>#N/A</v>
      </c>
    </row>
    <row r="951" spans="5:13">
      <c r="E951" s="13" t="e">
        <v>#N/A</v>
      </c>
      <c r="F951" s="13" t="e">
        <v>#N/A</v>
      </c>
      <c r="G951" s="14" t="e">
        <v>#N/A</v>
      </c>
      <c r="H951" s="14" t="e">
        <v>#N/A</v>
      </c>
      <c r="J951" s="13" t="e">
        <v>#N/A</v>
      </c>
      <c r="K951" s="13" t="e">
        <v>#N/A</v>
      </c>
      <c r="L951" s="14" t="e">
        <v>#N/A</v>
      </c>
      <c r="M951" s="14" t="e">
        <v>#N/A</v>
      </c>
    </row>
    <row r="952" spans="5:13">
      <c r="E952" s="13" t="e">
        <v>#N/A</v>
      </c>
      <c r="F952" s="13" t="e">
        <v>#N/A</v>
      </c>
      <c r="G952" s="14" t="e">
        <v>#N/A</v>
      </c>
      <c r="H952" s="14" t="e">
        <v>#N/A</v>
      </c>
      <c r="J952" s="13" t="e">
        <v>#N/A</v>
      </c>
      <c r="K952" s="13" t="e">
        <v>#N/A</v>
      </c>
      <c r="L952" s="14" t="e">
        <v>#N/A</v>
      </c>
      <c r="M952" s="14" t="e">
        <v>#N/A</v>
      </c>
    </row>
    <row r="953" spans="5:13">
      <c r="E953" s="13" t="e">
        <v>#N/A</v>
      </c>
      <c r="F953" s="13" t="e">
        <v>#N/A</v>
      </c>
      <c r="G953" s="14" t="e">
        <v>#N/A</v>
      </c>
      <c r="H953" s="14" t="e">
        <v>#N/A</v>
      </c>
      <c r="J953" s="13" t="e">
        <v>#N/A</v>
      </c>
      <c r="K953" s="13" t="e">
        <v>#N/A</v>
      </c>
      <c r="L953" s="14" t="e">
        <v>#N/A</v>
      </c>
      <c r="M953" s="14" t="e">
        <v>#N/A</v>
      </c>
    </row>
    <row r="954" spans="5:13">
      <c r="E954" s="13" t="e">
        <v>#N/A</v>
      </c>
      <c r="F954" s="13" t="e">
        <v>#N/A</v>
      </c>
      <c r="G954" s="14" t="e">
        <v>#N/A</v>
      </c>
      <c r="H954" s="14" t="e">
        <v>#N/A</v>
      </c>
      <c r="J954" s="13" t="e">
        <v>#N/A</v>
      </c>
      <c r="K954" s="13" t="e">
        <v>#N/A</v>
      </c>
      <c r="L954" s="14" t="e">
        <v>#N/A</v>
      </c>
      <c r="M954" s="14" t="e">
        <v>#N/A</v>
      </c>
    </row>
    <row r="955" spans="5:13">
      <c r="E955" s="13" t="e">
        <v>#N/A</v>
      </c>
      <c r="F955" s="13" t="e">
        <v>#N/A</v>
      </c>
      <c r="G955" s="14" t="e">
        <v>#N/A</v>
      </c>
      <c r="H955" s="14" t="e">
        <v>#N/A</v>
      </c>
      <c r="J955" s="13" t="e">
        <v>#N/A</v>
      </c>
      <c r="K955" s="13" t="e">
        <v>#N/A</v>
      </c>
      <c r="L955" s="14" t="e">
        <v>#N/A</v>
      </c>
      <c r="M955" s="14" t="e">
        <v>#N/A</v>
      </c>
    </row>
    <row r="956" spans="5:13">
      <c r="E956" s="13" t="e">
        <v>#N/A</v>
      </c>
      <c r="F956" s="13" t="e">
        <v>#N/A</v>
      </c>
      <c r="G956" s="14" t="e">
        <v>#N/A</v>
      </c>
      <c r="H956" s="14" t="e">
        <v>#N/A</v>
      </c>
      <c r="J956" s="13" t="e">
        <v>#N/A</v>
      </c>
      <c r="K956" s="13" t="e">
        <v>#N/A</v>
      </c>
      <c r="L956" s="14" t="e">
        <v>#N/A</v>
      </c>
      <c r="M956" s="14" t="e">
        <v>#N/A</v>
      </c>
    </row>
    <row r="957" spans="5:13">
      <c r="E957" s="13" t="e">
        <v>#N/A</v>
      </c>
      <c r="F957" s="13" t="e">
        <v>#N/A</v>
      </c>
      <c r="G957" s="14" t="e">
        <v>#N/A</v>
      </c>
      <c r="H957" s="14" t="e">
        <v>#N/A</v>
      </c>
      <c r="J957" s="13" t="e">
        <v>#N/A</v>
      </c>
      <c r="K957" s="13" t="e">
        <v>#N/A</v>
      </c>
      <c r="L957" s="14" t="e">
        <v>#N/A</v>
      </c>
      <c r="M957" s="14" t="e">
        <v>#N/A</v>
      </c>
    </row>
    <row r="958" spans="5:13">
      <c r="E958" s="13" t="e">
        <v>#N/A</v>
      </c>
      <c r="F958" s="13" t="e">
        <v>#N/A</v>
      </c>
      <c r="G958" s="14" t="e">
        <v>#N/A</v>
      </c>
      <c r="H958" s="14" t="e">
        <v>#N/A</v>
      </c>
      <c r="J958" s="13" t="e">
        <v>#N/A</v>
      </c>
      <c r="K958" s="13" t="e">
        <v>#N/A</v>
      </c>
      <c r="L958" s="14" t="e">
        <v>#N/A</v>
      </c>
      <c r="M958" s="14" t="e">
        <v>#N/A</v>
      </c>
    </row>
    <row r="959" spans="5:13">
      <c r="E959" s="13" t="e">
        <v>#N/A</v>
      </c>
      <c r="F959" s="13" t="e">
        <v>#N/A</v>
      </c>
      <c r="G959" s="14" t="e">
        <v>#N/A</v>
      </c>
      <c r="H959" s="14" t="e">
        <v>#N/A</v>
      </c>
      <c r="J959" s="13" t="e">
        <v>#N/A</v>
      </c>
      <c r="K959" s="13" t="e">
        <v>#N/A</v>
      </c>
      <c r="L959" s="14" t="e">
        <v>#N/A</v>
      </c>
      <c r="M959" s="14" t="e">
        <v>#N/A</v>
      </c>
    </row>
    <row r="960" spans="5:13">
      <c r="E960" s="13" t="e">
        <v>#N/A</v>
      </c>
      <c r="F960" s="13" t="e">
        <v>#N/A</v>
      </c>
      <c r="G960" s="14" t="e">
        <v>#N/A</v>
      </c>
      <c r="H960" s="14" t="e">
        <v>#N/A</v>
      </c>
      <c r="J960" s="13" t="e">
        <v>#N/A</v>
      </c>
      <c r="K960" s="13" t="e">
        <v>#N/A</v>
      </c>
      <c r="L960" s="14" t="e">
        <v>#N/A</v>
      </c>
      <c r="M960" s="14" t="e">
        <v>#N/A</v>
      </c>
    </row>
    <row r="961" spans="5:13">
      <c r="E961" s="13" t="e">
        <v>#N/A</v>
      </c>
      <c r="F961" s="13" t="e">
        <v>#N/A</v>
      </c>
      <c r="G961" s="14" t="e">
        <v>#N/A</v>
      </c>
      <c r="H961" s="14" t="e">
        <v>#N/A</v>
      </c>
      <c r="J961" s="13" t="e">
        <v>#N/A</v>
      </c>
      <c r="K961" s="13" t="e">
        <v>#N/A</v>
      </c>
      <c r="L961" s="14" t="e">
        <v>#N/A</v>
      </c>
      <c r="M961" s="14" t="e">
        <v>#N/A</v>
      </c>
    </row>
    <row r="962" spans="5:13">
      <c r="E962" s="13" t="e">
        <v>#N/A</v>
      </c>
      <c r="F962" s="13" t="e">
        <v>#N/A</v>
      </c>
      <c r="G962" s="14" t="e">
        <v>#N/A</v>
      </c>
      <c r="H962" s="14" t="e">
        <v>#N/A</v>
      </c>
      <c r="J962" s="13" t="e">
        <v>#N/A</v>
      </c>
      <c r="K962" s="13" t="e">
        <v>#N/A</v>
      </c>
      <c r="L962" s="14" t="e">
        <v>#N/A</v>
      </c>
      <c r="M962" s="14" t="e">
        <v>#N/A</v>
      </c>
    </row>
    <row r="963" spans="5:13">
      <c r="E963" s="13" t="e">
        <v>#N/A</v>
      </c>
      <c r="F963" s="13" t="e">
        <v>#N/A</v>
      </c>
      <c r="G963" s="14" t="e">
        <v>#N/A</v>
      </c>
      <c r="H963" s="14" t="e">
        <v>#N/A</v>
      </c>
      <c r="J963" s="13" t="e">
        <v>#N/A</v>
      </c>
      <c r="K963" s="13" t="e">
        <v>#N/A</v>
      </c>
      <c r="L963" s="14" t="e">
        <v>#N/A</v>
      </c>
      <c r="M963" s="14" t="e">
        <v>#N/A</v>
      </c>
    </row>
    <row r="964" spans="5:13">
      <c r="E964" s="13" t="e">
        <v>#N/A</v>
      </c>
      <c r="F964" s="13" t="e">
        <v>#N/A</v>
      </c>
      <c r="G964" s="14" t="e">
        <v>#N/A</v>
      </c>
      <c r="H964" s="14" t="e">
        <v>#N/A</v>
      </c>
      <c r="J964" s="13" t="e">
        <v>#N/A</v>
      </c>
      <c r="K964" s="13" t="e">
        <v>#N/A</v>
      </c>
      <c r="L964" s="14" t="e">
        <v>#N/A</v>
      </c>
      <c r="M964" s="14" t="e">
        <v>#N/A</v>
      </c>
    </row>
    <row r="965" spans="5:13">
      <c r="E965" s="13" t="e">
        <v>#N/A</v>
      </c>
      <c r="F965" s="13" t="e">
        <v>#N/A</v>
      </c>
      <c r="G965" s="14" t="e">
        <v>#N/A</v>
      </c>
      <c r="H965" s="14" t="e">
        <v>#N/A</v>
      </c>
      <c r="J965" s="13" t="e">
        <v>#N/A</v>
      </c>
      <c r="K965" s="13" t="e">
        <v>#N/A</v>
      </c>
      <c r="L965" s="14" t="e">
        <v>#N/A</v>
      </c>
      <c r="M965" s="14" t="e">
        <v>#N/A</v>
      </c>
    </row>
    <row r="966" spans="5:13">
      <c r="E966" s="13" t="e">
        <v>#N/A</v>
      </c>
      <c r="F966" s="13" t="e">
        <v>#N/A</v>
      </c>
      <c r="G966" s="14" t="e">
        <v>#N/A</v>
      </c>
      <c r="H966" s="14" t="e">
        <v>#N/A</v>
      </c>
      <c r="J966" s="13" t="e">
        <v>#N/A</v>
      </c>
      <c r="K966" s="13" t="e">
        <v>#N/A</v>
      </c>
      <c r="L966" s="14" t="e">
        <v>#N/A</v>
      </c>
      <c r="M966" s="14" t="e">
        <v>#N/A</v>
      </c>
    </row>
    <row r="967" spans="5:13">
      <c r="E967" s="13" t="e">
        <v>#N/A</v>
      </c>
      <c r="F967" s="13" t="e">
        <v>#N/A</v>
      </c>
      <c r="G967" s="14" t="e">
        <v>#N/A</v>
      </c>
      <c r="H967" s="14" t="e">
        <v>#N/A</v>
      </c>
      <c r="J967" s="13" t="e">
        <v>#N/A</v>
      </c>
      <c r="K967" s="13" t="e">
        <v>#N/A</v>
      </c>
      <c r="L967" s="14" t="e">
        <v>#N/A</v>
      </c>
      <c r="M967" s="14" t="e">
        <v>#N/A</v>
      </c>
    </row>
    <row r="968" spans="5:13">
      <c r="E968" s="13" t="e">
        <v>#N/A</v>
      </c>
      <c r="F968" s="13" t="e">
        <v>#N/A</v>
      </c>
      <c r="G968" s="14" t="e">
        <v>#N/A</v>
      </c>
      <c r="H968" s="14" t="e">
        <v>#N/A</v>
      </c>
      <c r="J968" s="13" t="e">
        <v>#N/A</v>
      </c>
      <c r="K968" s="13" t="e">
        <v>#N/A</v>
      </c>
      <c r="L968" s="14" t="e">
        <v>#N/A</v>
      </c>
      <c r="M968" s="14" t="e">
        <v>#N/A</v>
      </c>
    </row>
    <row r="969" spans="5:13">
      <c r="E969" s="13" t="e">
        <v>#N/A</v>
      </c>
      <c r="F969" s="13" t="e">
        <v>#N/A</v>
      </c>
      <c r="G969" s="14" t="e">
        <v>#N/A</v>
      </c>
      <c r="H969" s="14" t="e">
        <v>#N/A</v>
      </c>
      <c r="J969" s="13" t="e">
        <v>#N/A</v>
      </c>
      <c r="K969" s="13" t="e">
        <v>#N/A</v>
      </c>
      <c r="L969" s="14" t="e">
        <v>#N/A</v>
      </c>
      <c r="M969" s="14" t="e">
        <v>#N/A</v>
      </c>
    </row>
    <row r="970" spans="5:13">
      <c r="E970" s="13" t="e">
        <v>#N/A</v>
      </c>
      <c r="F970" s="13" t="e">
        <v>#N/A</v>
      </c>
      <c r="G970" s="14" t="e">
        <v>#N/A</v>
      </c>
      <c r="H970" s="14" t="e">
        <v>#N/A</v>
      </c>
      <c r="J970" s="13" t="e">
        <v>#N/A</v>
      </c>
      <c r="K970" s="13" t="e">
        <v>#N/A</v>
      </c>
      <c r="L970" s="14" t="e">
        <v>#N/A</v>
      </c>
      <c r="M970" s="14" t="e">
        <v>#N/A</v>
      </c>
    </row>
    <row r="971" spans="5:13">
      <c r="E971" s="13" t="e">
        <v>#N/A</v>
      </c>
      <c r="F971" s="13" t="e">
        <v>#N/A</v>
      </c>
      <c r="G971" s="14" t="e">
        <v>#N/A</v>
      </c>
      <c r="H971" s="14" t="e">
        <v>#N/A</v>
      </c>
      <c r="J971" s="13" t="e">
        <v>#N/A</v>
      </c>
      <c r="K971" s="13" t="e">
        <v>#N/A</v>
      </c>
      <c r="L971" s="14" t="e">
        <v>#N/A</v>
      </c>
      <c r="M971" s="14" t="e">
        <v>#N/A</v>
      </c>
    </row>
    <row r="972" spans="5:13">
      <c r="E972" s="13" t="e">
        <v>#N/A</v>
      </c>
      <c r="F972" s="13" t="e">
        <v>#N/A</v>
      </c>
      <c r="G972" s="14" t="e">
        <v>#N/A</v>
      </c>
      <c r="H972" s="14" t="e">
        <v>#N/A</v>
      </c>
      <c r="J972" s="13" t="e">
        <v>#N/A</v>
      </c>
      <c r="K972" s="13" t="e">
        <v>#N/A</v>
      </c>
      <c r="L972" s="14" t="e">
        <v>#N/A</v>
      </c>
      <c r="M972" s="14" t="e">
        <v>#N/A</v>
      </c>
    </row>
    <row r="973" spans="5:13">
      <c r="E973" s="13" t="e">
        <v>#N/A</v>
      </c>
      <c r="F973" s="13" t="e">
        <v>#N/A</v>
      </c>
      <c r="G973" s="14" t="e">
        <v>#N/A</v>
      </c>
      <c r="H973" s="14" t="e">
        <v>#N/A</v>
      </c>
      <c r="J973" s="13" t="e">
        <v>#N/A</v>
      </c>
      <c r="K973" s="13" t="e">
        <v>#N/A</v>
      </c>
      <c r="L973" s="14" t="e">
        <v>#N/A</v>
      </c>
      <c r="M973" s="14" t="e">
        <v>#N/A</v>
      </c>
    </row>
    <row r="974" spans="5:13">
      <c r="E974" s="13" t="e">
        <v>#N/A</v>
      </c>
      <c r="F974" s="13" t="e">
        <v>#N/A</v>
      </c>
      <c r="G974" s="14" t="e">
        <v>#N/A</v>
      </c>
      <c r="H974" s="14" t="e">
        <v>#N/A</v>
      </c>
      <c r="J974" s="13" t="e">
        <v>#N/A</v>
      </c>
      <c r="K974" s="13" t="e">
        <v>#N/A</v>
      </c>
      <c r="L974" s="14" t="e">
        <v>#N/A</v>
      </c>
      <c r="M974" s="14" t="e">
        <v>#N/A</v>
      </c>
    </row>
    <row r="975" spans="5:13">
      <c r="E975" s="13" t="e">
        <v>#N/A</v>
      </c>
      <c r="F975" s="13" t="e">
        <v>#N/A</v>
      </c>
      <c r="G975" s="14" t="e">
        <v>#N/A</v>
      </c>
      <c r="H975" s="14" t="e">
        <v>#N/A</v>
      </c>
      <c r="J975" s="13" t="e">
        <v>#N/A</v>
      </c>
      <c r="K975" s="13" t="e">
        <v>#N/A</v>
      </c>
      <c r="L975" s="14" t="e">
        <v>#N/A</v>
      </c>
      <c r="M975" s="14" t="e">
        <v>#N/A</v>
      </c>
    </row>
    <row r="976" spans="5:13">
      <c r="E976" s="13" t="e">
        <v>#N/A</v>
      </c>
      <c r="F976" s="13" t="e">
        <v>#N/A</v>
      </c>
      <c r="G976" s="14" t="e">
        <v>#N/A</v>
      </c>
      <c r="H976" s="14" t="e">
        <v>#N/A</v>
      </c>
      <c r="J976" s="13" t="e">
        <v>#N/A</v>
      </c>
      <c r="K976" s="13" t="e">
        <v>#N/A</v>
      </c>
      <c r="L976" s="14" t="e">
        <v>#N/A</v>
      </c>
      <c r="M976" s="14" t="e">
        <v>#N/A</v>
      </c>
    </row>
    <row r="977" spans="5:13">
      <c r="E977" s="13" t="e">
        <v>#N/A</v>
      </c>
      <c r="F977" s="13" t="e">
        <v>#N/A</v>
      </c>
      <c r="G977" s="14" t="e">
        <v>#N/A</v>
      </c>
      <c r="H977" s="14" t="e">
        <v>#N/A</v>
      </c>
      <c r="J977" s="13" t="e">
        <v>#N/A</v>
      </c>
      <c r="K977" s="13" t="e">
        <v>#N/A</v>
      </c>
      <c r="L977" s="14" t="e">
        <v>#N/A</v>
      </c>
      <c r="M977" s="14" t="e">
        <v>#N/A</v>
      </c>
    </row>
    <row r="978" spans="5:13">
      <c r="E978" s="13" t="e">
        <v>#N/A</v>
      </c>
      <c r="F978" s="13" t="e">
        <v>#N/A</v>
      </c>
      <c r="G978" s="14" t="e">
        <v>#N/A</v>
      </c>
      <c r="H978" s="14" t="e">
        <v>#N/A</v>
      </c>
      <c r="J978" s="13" t="e">
        <v>#N/A</v>
      </c>
      <c r="K978" s="13" t="e">
        <v>#N/A</v>
      </c>
      <c r="L978" s="14" t="e">
        <v>#N/A</v>
      </c>
      <c r="M978" s="14" t="e">
        <v>#N/A</v>
      </c>
    </row>
    <row r="979" spans="5:13">
      <c r="E979" s="13" t="e">
        <v>#N/A</v>
      </c>
      <c r="F979" s="13" t="e">
        <v>#N/A</v>
      </c>
      <c r="G979" s="14" t="e">
        <v>#N/A</v>
      </c>
      <c r="H979" s="14" t="e">
        <v>#N/A</v>
      </c>
      <c r="J979" s="13" t="e">
        <v>#N/A</v>
      </c>
      <c r="K979" s="13" t="e">
        <v>#N/A</v>
      </c>
      <c r="L979" s="14" t="e">
        <v>#N/A</v>
      </c>
      <c r="M979" s="14" t="e">
        <v>#N/A</v>
      </c>
    </row>
    <row r="980" spans="5:13">
      <c r="E980" s="13" t="e">
        <v>#N/A</v>
      </c>
      <c r="F980" s="13" t="e">
        <v>#N/A</v>
      </c>
      <c r="G980" s="14" t="e">
        <v>#N/A</v>
      </c>
      <c r="H980" s="14" t="e">
        <v>#N/A</v>
      </c>
      <c r="J980" s="13" t="e">
        <v>#N/A</v>
      </c>
      <c r="K980" s="13" t="e">
        <v>#N/A</v>
      </c>
      <c r="L980" s="14" t="e">
        <v>#N/A</v>
      </c>
      <c r="M980" s="14" t="e">
        <v>#N/A</v>
      </c>
    </row>
    <row r="981" spans="5:13">
      <c r="E981" s="13" t="e">
        <v>#N/A</v>
      </c>
      <c r="F981" s="13" t="e">
        <v>#N/A</v>
      </c>
      <c r="G981" s="14" t="e">
        <v>#N/A</v>
      </c>
      <c r="H981" s="14" t="e">
        <v>#N/A</v>
      </c>
      <c r="J981" s="13" t="e">
        <v>#N/A</v>
      </c>
      <c r="K981" s="13" t="e">
        <v>#N/A</v>
      </c>
      <c r="L981" s="14" t="e">
        <v>#N/A</v>
      </c>
      <c r="M981" s="14" t="e">
        <v>#N/A</v>
      </c>
    </row>
    <row r="982" spans="5:13">
      <c r="E982" s="13" t="e">
        <v>#N/A</v>
      </c>
      <c r="F982" s="13" t="e">
        <v>#N/A</v>
      </c>
      <c r="G982" s="14" t="e">
        <v>#N/A</v>
      </c>
      <c r="H982" s="14" t="e">
        <v>#N/A</v>
      </c>
      <c r="J982" s="13" t="e">
        <v>#N/A</v>
      </c>
      <c r="K982" s="13" t="e">
        <v>#N/A</v>
      </c>
      <c r="L982" s="14" t="e">
        <v>#N/A</v>
      </c>
      <c r="M982" s="14" t="e">
        <v>#N/A</v>
      </c>
    </row>
    <row r="983" spans="5:13">
      <c r="E983" s="13" t="e">
        <v>#N/A</v>
      </c>
      <c r="F983" s="13" t="e">
        <v>#N/A</v>
      </c>
      <c r="G983" s="14" t="e">
        <v>#N/A</v>
      </c>
      <c r="H983" s="14" t="e">
        <v>#N/A</v>
      </c>
      <c r="J983" s="13" t="e">
        <v>#N/A</v>
      </c>
      <c r="K983" s="13" t="e">
        <v>#N/A</v>
      </c>
      <c r="L983" s="14" t="e">
        <v>#N/A</v>
      </c>
      <c r="M983" s="14" t="e">
        <v>#N/A</v>
      </c>
    </row>
    <row r="984" spans="5:13">
      <c r="E984" s="13" t="e">
        <v>#N/A</v>
      </c>
      <c r="F984" s="13" t="e">
        <v>#N/A</v>
      </c>
      <c r="G984" s="14" t="e">
        <v>#N/A</v>
      </c>
      <c r="H984" s="14" t="e">
        <v>#N/A</v>
      </c>
      <c r="J984" s="13" t="e">
        <v>#N/A</v>
      </c>
      <c r="K984" s="13" t="e">
        <v>#N/A</v>
      </c>
      <c r="L984" s="14" t="e">
        <v>#N/A</v>
      </c>
      <c r="M984" s="14" t="e">
        <v>#N/A</v>
      </c>
    </row>
    <row r="985" spans="5:13">
      <c r="E985" s="13" t="e">
        <v>#N/A</v>
      </c>
      <c r="F985" s="13" t="e">
        <v>#N/A</v>
      </c>
      <c r="G985" s="14" t="e">
        <v>#N/A</v>
      </c>
      <c r="H985" s="14" t="e">
        <v>#N/A</v>
      </c>
      <c r="J985" s="13" t="e">
        <v>#N/A</v>
      </c>
      <c r="K985" s="13" t="e">
        <v>#N/A</v>
      </c>
      <c r="L985" s="14" t="e">
        <v>#N/A</v>
      </c>
      <c r="M985" s="14" t="e">
        <v>#N/A</v>
      </c>
    </row>
    <row r="986" spans="5:13">
      <c r="E986" s="13" t="e">
        <v>#N/A</v>
      </c>
      <c r="F986" s="13" t="e">
        <v>#N/A</v>
      </c>
      <c r="G986" s="14" t="e">
        <v>#N/A</v>
      </c>
      <c r="H986" s="14" t="e">
        <v>#N/A</v>
      </c>
      <c r="J986" s="13" t="e">
        <v>#N/A</v>
      </c>
      <c r="K986" s="13" t="e">
        <v>#N/A</v>
      </c>
      <c r="L986" s="14" t="e">
        <v>#N/A</v>
      </c>
      <c r="M986" s="14" t="e">
        <v>#N/A</v>
      </c>
    </row>
    <row r="987" spans="5:13">
      <c r="E987" s="13" t="e">
        <v>#N/A</v>
      </c>
      <c r="F987" s="13" t="e">
        <v>#N/A</v>
      </c>
      <c r="G987" s="14" t="e">
        <v>#N/A</v>
      </c>
      <c r="H987" s="14" t="e">
        <v>#N/A</v>
      </c>
      <c r="J987" s="13" t="e">
        <v>#N/A</v>
      </c>
      <c r="K987" s="13" t="e">
        <v>#N/A</v>
      </c>
      <c r="L987" s="14" t="e">
        <v>#N/A</v>
      </c>
      <c r="M987" s="14" t="e">
        <v>#N/A</v>
      </c>
    </row>
    <row r="988" spans="5:13">
      <c r="E988" s="13" t="e">
        <v>#N/A</v>
      </c>
      <c r="F988" s="13" t="e">
        <v>#N/A</v>
      </c>
      <c r="G988" s="14" t="e">
        <v>#N/A</v>
      </c>
      <c r="H988" s="14" t="e">
        <v>#N/A</v>
      </c>
      <c r="J988" s="13" t="e">
        <v>#N/A</v>
      </c>
      <c r="K988" s="13" t="e">
        <v>#N/A</v>
      </c>
      <c r="L988" s="14" t="e">
        <v>#N/A</v>
      </c>
      <c r="M988" s="14" t="e">
        <v>#N/A</v>
      </c>
    </row>
    <row r="989" spans="5:13">
      <c r="E989" s="13" t="e">
        <v>#N/A</v>
      </c>
      <c r="F989" s="13" t="e">
        <v>#N/A</v>
      </c>
      <c r="G989" s="14" t="e">
        <v>#N/A</v>
      </c>
      <c r="H989" s="14" t="e">
        <v>#N/A</v>
      </c>
      <c r="J989" s="13" t="e">
        <v>#N/A</v>
      </c>
      <c r="K989" s="13" t="e">
        <v>#N/A</v>
      </c>
      <c r="L989" s="14" t="e">
        <v>#N/A</v>
      </c>
      <c r="M989" s="14" t="e">
        <v>#N/A</v>
      </c>
    </row>
    <row r="990" spans="5:13">
      <c r="E990" s="13" t="e">
        <v>#N/A</v>
      </c>
      <c r="F990" s="13" t="e">
        <v>#N/A</v>
      </c>
      <c r="G990" s="14" t="e">
        <v>#N/A</v>
      </c>
      <c r="H990" s="14" t="e">
        <v>#N/A</v>
      </c>
      <c r="J990" s="13" t="e">
        <v>#N/A</v>
      </c>
      <c r="K990" s="13" t="e">
        <v>#N/A</v>
      </c>
      <c r="L990" s="14" t="e">
        <v>#N/A</v>
      </c>
      <c r="M990" s="14" t="e">
        <v>#N/A</v>
      </c>
    </row>
    <row r="991" spans="5:13">
      <c r="E991" s="13" t="e">
        <v>#N/A</v>
      </c>
      <c r="F991" s="13" t="e">
        <v>#N/A</v>
      </c>
      <c r="G991" s="14" t="e">
        <v>#N/A</v>
      </c>
      <c r="H991" s="14" t="e">
        <v>#N/A</v>
      </c>
      <c r="J991" s="13" t="e">
        <v>#N/A</v>
      </c>
      <c r="K991" s="13" t="e">
        <v>#N/A</v>
      </c>
      <c r="L991" s="14" t="e">
        <v>#N/A</v>
      </c>
      <c r="M991" s="14" t="e">
        <v>#N/A</v>
      </c>
    </row>
    <row r="992" spans="5:13">
      <c r="E992" s="13" t="e">
        <v>#N/A</v>
      </c>
      <c r="F992" s="13" t="e">
        <v>#N/A</v>
      </c>
      <c r="G992" s="14" t="e">
        <v>#N/A</v>
      </c>
      <c r="H992" s="14" t="e">
        <v>#N/A</v>
      </c>
      <c r="J992" s="13" t="e">
        <v>#N/A</v>
      </c>
      <c r="K992" s="13" t="e">
        <v>#N/A</v>
      </c>
      <c r="L992" s="14" t="e">
        <v>#N/A</v>
      </c>
      <c r="M992" s="14" t="e">
        <v>#N/A</v>
      </c>
    </row>
    <row r="993" spans="5:13">
      <c r="E993" s="13" t="e">
        <v>#N/A</v>
      </c>
      <c r="F993" s="13" t="e">
        <v>#N/A</v>
      </c>
      <c r="G993" s="14" t="e">
        <v>#N/A</v>
      </c>
      <c r="H993" s="14" t="e">
        <v>#N/A</v>
      </c>
      <c r="J993" s="13" t="e">
        <v>#N/A</v>
      </c>
      <c r="K993" s="13" t="e">
        <v>#N/A</v>
      </c>
      <c r="L993" s="14" t="e">
        <v>#N/A</v>
      </c>
      <c r="M993" s="14" t="e">
        <v>#N/A</v>
      </c>
    </row>
    <row r="994" spans="5:13">
      <c r="E994" s="13" t="e">
        <v>#N/A</v>
      </c>
      <c r="F994" s="13" t="e">
        <v>#N/A</v>
      </c>
      <c r="G994" s="14" t="e">
        <v>#N/A</v>
      </c>
      <c r="H994" s="14" t="e">
        <v>#N/A</v>
      </c>
      <c r="J994" s="13" t="e">
        <v>#N/A</v>
      </c>
      <c r="K994" s="13" t="e">
        <v>#N/A</v>
      </c>
      <c r="L994" s="14" t="e">
        <v>#N/A</v>
      </c>
      <c r="M994" s="14" t="e">
        <v>#N/A</v>
      </c>
    </row>
    <row r="995" spans="5:13">
      <c r="E995" s="13" t="e">
        <v>#N/A</v>
      </c>
      <c r="F995" s="13" t="e">
        <v>#N/A</v>
      </c>
      <c r="G995" s="14" t="e">
        <v>#N/A</v>
      </c>
      <c r="H995" s="14" t="e">
        <v>#N/A</v>
      </c>
      <c r="J995" s="13" t="e">
        <v>#N/A</v>
      </c>
      <c r="K995" s="13" t="e">
        <v>#N/A</v>
      </c>
      <c r="L995" s="14" t="e">
        <v>#N/A</v>
      </c>
      <c r="M995" s="14" t="e">
        <v>#N/A</v>
      </c>
    </row>
    <row r="996" spans="5:13">
      <c r="E996" s="13" t="e">
        <v>#N/A</v>
      </c>
      <c r="F996" s="13" t="e">
        <v>#N/A</v>
      </c>
      <c r="G996" s="14" t="e">
        <v>#N/A</v>
      </c>
      <c r="H996" s="14" t="e">
        <v>#N/A</v>
      </c>
      <c r="J996" s="13" t="e">
        <v>#N/A</v>
      </c>
      <c r="K996" s="13" t="e">
        <v>#N/A</v>
      </c>
      <c r="L996" s="14" t="e">
        <v>#N/A</v>
      </c>
      <c r="M996" s="14" t="e">
        <v>#N/A</v>
      </c>
    </row>
    <row r="997" spans="5:13">
      <c r="E997" s="13" t="e">
        <v>#N/A</v>
      </c>
      <c r="F997" s="13" t="e">
        <v>#N/A</v>
      </c>
      <c r="G997" s="14" t="e">
        <v>#N/A</v>
      </c>
      <c r="H997" s="14" t="e">
        <v>#N/A</v>
      </c>
      <c r="J997" s="13" t="e">
        <v>#N/A</v>
      </c>
      <c r="K997" s="13" t="e">
        <v>#N/A</v>
      </c>
      <c r="L997" s="14" t="e">
        <v>#N/A</v>
      </c>
      <c r="M997" s="14" t="e">
        <v>#N/A</v>
      </c>
    </row>
    <row r="998" spans="5:13">
      <c r="E998" s="13" t="e">
        <v>#N/A</v>
      </c>
      <c r="F998" s="13" t="e">
        <v>#N/A</v>
      </c>
      <c r="G998" s="14" t="e">
        <v>#N/A</v>
      </c>
      <c r="H998" s="14" t="e">
        <v>#N/A</v>
      </c>
      <c r="J998" s="13" t="e">
        <v>#N/A</v>
      </c>
      <c r="K998" s="13" t="e">
        <v>#N/A</v>
      </c>
      <c r="L998" s="14" t="e">
        <v>#N/A</v>
      </c>
      <c r="M998" s="14" t="e">
        <v>#N/A</v>
      </c>
    </row>
    <row r="999" spans="5:13">
      <c r="E999" s="13" t="e">
        <v>#N/A</v>
      </c>
      <c r="F999" s="13" t="e">
        <v>#N/A</v>
      </c>
      <c r="G999" s="14" t="e">
        <v>#N/A</v>
      </c>
      <c r="H999" s="14" t="e">
        <v>#N/A</v>
      </c>
      <c r="J999" s="13" t="e">
        <v>#N/A</v>
      </c>
      <c r="K999" s="13" t="e">
        <v>#N/A</v>
      </c>
      <c r="L999" s="14" t="e">
        <v>#N/A</v>
      </c>
      <c r="M999" s="14" t="e">
        <v>#N/A</v>
      </c>
    </row>
    <row r="1000" spans="5:13">
      <c r="E1000" s="13" t="e">
        <v>#N/A</v>
      </c>
      <c r="F1000" s="13" t="e">
        <v>#N/A</v>
      </c>
      <c r="G1000" s="14" t="e">
        <v>#N/A</v>
      </c>
      <c r="H1000" s="14" t="e">
        <v>#N/A</v>
      </c>
      <c r="J1000" s="13" t="e">
        <v>#N/A</v>
      </c>
      <c r="K1000" s="13" t="e">
        <v>#N/A</v>
      </c>
      <c r="L1000" s="14" t="e">
        <v>#N/A</v>
      </c>
      <c r="M1000" s="14" t="e">
        <v>#N/A</v>
      </c>
    </row>
    <row r="1001" spans="5:13">
      <c r="E1001" s="13" t="e">
        <v>#N/A</v>
      </c>
      <c r="F1001" s="13" t="e">
        <v>#N/A</v>
      </c>
      <c r="G1001" s="14" t="e">
        <v>#N/A</v>
      </c>
      <c r="H1001" s="14" t="e">
        <v>#N/A</v>
      </c>
      <c r="J1001" s="13" t="e">
        <v>#N/A</v>
      </c>
      <c r="K1001" s="13" t="e">
        <v>#N/A</v>
      </c>
      <c r="L1001" s="14" t="e">
        <v>#N/A</v>
      </c>
      <c r="M1001" s="14" t="e">
        <v>#N/A</v>
      </c>
    </row>
    <row r="1002" spans="5:13">
      <c r="E1002" s="13" t="e">
        <v>#N/A</v>
      </c>
      <c r="F1002" s="13" t="e">
        <v>#N/A</v>
      </c>
      <c r="G1002" s="14" t="e">
        <v>#N/A</v>
      </c>
      <c r="H1002" s="14" t="e">
        <v>#N/A</v>
      </c>
      <c r="J1002" s="13" t="e">
        <v>#N/A</v>
      </c>
      <c r="K1002" s="13" t="e">
        <v>#N/A</v>
      </c>
      <c r="L1002" s="14" t="e">
        <v>#N/A</v>
      </c>
      <c r="M1002" s="14" t="e">
        <v>#N/A</v>
      </c>
    </row>
    <row r="1003" spans="5:13">
      <c r="E1003" s="13" t="e">
        <v>#N/A</v>
      </c>
      <c r="F1003" s="13" t="e">
        <v>#N/A</v>
      </c>
      <c r="G1003" s="14" t="e">
        <v>#N/A</v>
      </c>
      <c r="H1003" s="14" t="e">
        <v>#N/A</v>
      </c>
      <c r="J1003" s="13" t="e">
        <v>#N/A</v>
      </c>
      <c r="K1003" s="13" t="e">
        <v>#N/A</v>
      </c>
      <c r="L1003" s="14" t="e">
        <v>#N/A</v>
      </c>
      <c r="M1003" s="14" t="e">
        <v>#N/A</v>
      </c>
    </row>
    <row r="1004" spans="5:13">
      <c r="E1004" s="13" t="e">
        <v>#N/A</v>
      </c>
      <c r="F1004" s="13" t="e">
        <v>#N/A</v>
      </c>
      <c r="G1004" s="14" t="e">
        <v>#N/A</v>
      </c>
      <c r="H1004" s="14" t="e">
        <v>#N/A</v>
      </c>
      <c r="J1004" s="13" t="e">
        <v>#N/A</v>
      </c>
      <c r="K1004" s="13" t="e">
        <v>#N/A</v>
      </c>
      <c r="L1004" s="14" t="e">
        <v>#N/A</v>
      </c>
      <c r="M1004" s="14" t="e">
        <v>#N/A</v>
      </c>
    </row>
    <row r="1005" spans="5:13">
      <c r="E1005" s="13" t="e">
        <v>#N/A</v>
      </c>
      <c r="F1005" s="13" t="e">
        <v>#N/A</v>
      </c>
      <c r="G1005" s="14" t="e">
        <v>#N/A</v>
      </c>
      <c r="H1005" s="14" t="e">
        <v>#N/A</v>
      </c>
      <c r="J1005" s="13" t="e">
        <v>#N/A</v>
      </c>
      <c r="K1005" s="13" t="e">
        <v>#N/A</v>
      </c>
      <c r="L1005" s="14" t="e">
        <v>#N/A</v>
      </c>
      <c r="M1005" s="14" t="e">
        <v>#N/A</v>
      </c>
    </row>
    <row r="1006" spans="5:13">
      <c r="E1006" s="13" t="e">
        <v>#N/A</v>
      </c>
      <c r="F1006" s="13" t="e">
        <v>#N/A</v>
      </c>
      <c r="G1006" s="14" t="e">
        <v>#N/A</v>
      </c>
      <c r="H1006" s="14" t="e">
        <v>#N/A</v>
      </c>
      <c r="J1006" s="13" t="e">
        <v>#N/A</v>
      </c>
      <c r="K1006" s="13" t="e">
        <v>#N/A</v>
      </c>
      <c r="L1006" s="14" t="e">
        <v>#N/A</v>
      </c>
      <c r="M1006" s="14" t="e">
        <v>#N/A</v>
      </c>
    </row>
    <row r="1007" spans="5:13">
      <c r="E1007" s="13" t="e">
        <v>#N/A</v>
      </c>
      <c r="F1007" s="13" t="e">
        <v>#N/A</v>
      </c>
      <c r="G1007" s="14" t="e">
        <v>#N/A</v>
      </c>
      <c r="H1007" s="14" t="e">
        <v>#N/A</v>
      </c>
      <c r="J1007" s="13" t="e">
        <v>#N/A</v>
      </c>
      <c r="K1007" s="13" t="e">
        <v>#N/A</v>
      </c>
      <c r="L1007" s="14" t="e">
        <v>#N/A</v>
      </c>
      <c r="M1007" s="14" t="e">
        <v>#N/A</v>
      </c>
    </row>
    <row r="1008" spans="5:13">
      <c r="E1008" s="13" t="e">
        <v>#N/A</v>
      </c>
      <c r="F1008" s="13" t="e">
        <v>#N/A</v>
      </c>
      <c r="G1008" s="14" t="e">
        <v>#N/A</v>
      </c>
      <c r="H1008" s="14" t="e">
        <v>#N/A</v>
      </c>
      <c r="J1008" s="13" t="e">
        <v>#N/A</v>
      </c>
      <c r="K1008" s="13" t="e">
        <v>#N/A</v>
      </c>
      <c r="L1008" s="14" t="e">
        <v>#N/A</v>
      </c>
      <c r="M1008" s="14" t="e">
        <v>#N/A</v>
      </c>
    </row>
    <row r="1009" spans="5:13">
      <c r="E1009" s="13" t="e">
        <v>#N/A</v>
      </c>
      <c r="F1009" s="13" t="e">
        <v>#N/A</v>
      </c>
      <c r="G1009" s="14" t="e">
        <v>#N/A</v>
      </c>
      <c r="H1009" s="14" t="e">
        <v>#N/A</v>
      </c>
      <c r="J1009" s="13" t="e">
        <v>#N/A</v>
      </c>
      <c r="K1009" s="13" t="e">
        <v>#N/A</v>
      </c>
      <c r="L1009" s="14" t="e">
        <v>#N/A</v>
      </c>
      <c r="M1009" s="14" t="e">
        <v>#N/A</v>
      </c>
    </row>
    <row r="1010" spans="5:13">
      <c r="E1010" s="13" t="e">
        <v>#N/A</v>
      </c>
      <c r="F1010" s="13" t="e">
        <v>#N/A</v>
      </c>
      <c r="G1010" s="14" t="e">
        <v>#N/A</v>
      </c>
      <c r="H1010" s="14" t="e">
        <v>#N/A</v>
      </c>
      <c r="J1010" s="13" t="e">
        <v>#N/A</v>
      </c>
      <c r="K1010" s="13" t="e">
        <v>#N/A</v>
      </c>
      <c r="L1010" s="14" t="e">
        <v>#N/A</v>
      </c>
      <c r="M1010" s="14" t="e">
        <v>#N/A</v>
      </c>
    </row>
    <row r="1011" spans="5:13">
      <c r="E1011" s="13" t="e">
        <v>#N/A</v>
      </c>
      <c r="F1011" s="13" t="e">
        <v>#N/A</v>
      </c>
      <c r="G1011" s="14" t="e">
        <v>#N/A</v>
      </c>
      <c r="H1011" s="14" t="e">
        <v>#N/A</v>
      </c>
      <c r="J1011" s="13" t="e">
        <v>#N/A</v>
      </c>
      <c r="K1011" s="13" t="e">
        <v>#N/A</v>
      </c>
      <c r="L1011" s="14" t="e">
        <v>#N/A</v>
      </c>
      <c r="M1011" s="14" t="e">
        <v>#N/A</v>
      </c>
    </row>
    <row r="1012" spans="5:13">
      <c r="E1012" s="13" t="e">
        <v>#N/A</v>
      </c>
      <c r="F1012" s="13" t="e">
        <v>#N/A</v>
      </c>
      <c r="G1012" s="14" t="e">
        <v>#N/A</v>
      </c>
      <c r="H1012" s="14" t="e">
        <v>#N/A</v>
      </c>
      <c r="J1012" s="13" t="e">
        <v>#N/A</v>
      </c>
      <c r="K1012" s="13" t="e">
        <v>#N/A</v>
      </c>
      <c r="L1012" s="14" t="e">
        <v>#N/A</v>
      </c>
      <c r="M1012" s="14" t="e">
        <v>#N/A</v>
      </c>
    </row>
    <row r="1013" spans="5:13">
      <c r="E1013" s="13" t="e">
        <v>#N/A</v>
      </c>
      <c r="F1013" s="13" t="e">
        <v>#N/A</v>
      </c>
      <c r="G1013" s="14" t="e">
        <v>#N/A</v>
      </c>
      <c r="H1013" s="14" t="e">
        <v>#N/A</v>
      </c>
      <c r="J1013" s="13" t="e">
        <v>#N/A</v>
      </c>
      <c r="K1013" s="13" t="e">
        <v>#N/A</v>
      </c>
      <c r="L1013" s="14" t="e">
        <v>#N/A</v>
      </c>
      <c r="M1013" s="14" t="e">
        <v>#N/A</v>
      </c>
    </row>
    <row r="1014" spans="5:13">
      <c r="E1014" s="13" t="e">
        <v>#N/A</v>
      </c>
      <c r="F1014" s="13" t="e">
        <v>#N/A</v>
      </c>
      <c r="G1014" s="14" t="e">
        <v>#N/A</v>
      </c>
      <c r="H1014" s="14" t="e">
        <v>#N/A</v>
      </c>
      <c r="J1014" s="13" t="e">
        <v>#N/A</v>
      </c>
      <c r="K1014" s="13" t="e">
        <v>#N/A</v>
      </c>
      <c r="L1014" s="14" t="e">
        <v>#N/A</v>
      </c>
      <c r="M1014" s="14" t="e">
        <v>#N/A</v>
      </c>
    </row>
    <row r="1015" spans="5:13">
      <c r="E1015" s="13" t="e">
        <v>#N/A</v>
      </c>
      <c r="F1015" s="13" t="e">
        <v>#N/A</v>
      </c>
      <c r="G1015" s="14" t="e">
        <v>#N/A</v>
      </c>
      <c r="H1015" s="14" t="e">
        <v>#N/A</v>
      </c>
      <c r="J1015" s="13" t="e">
        <v>#N/A</v>
      </c>
      <c r="K1015" s="13" t="e">
        <v>#N/A</v>
      </c>
      <c r="L1015" s="14" t="e">
        <v>#N/A</v>
      </c>
      <c r="M1015" s="14" t="e">
        <v>#N/A</v>
      </c>
    </row>
    <row r="1016" spans="5:13">
      <c r="E1016" s="13" t="e">
        <v>#N/A</v>
      </c>
      <c r="F1016" s="13" t="e">
        <v>#N/A</v>
      </c>
      <c r="G1016" s="14" t="e">
        <v>#N/A</v>
      </c>
      <c r="H1016" s="14" t="e">
        <v>#N/A</v>
      </c>
      <c r="J1016" s="13" t="e">
        <v>#N/A</v>
      </c>
      <c r="K1016" s="13" t="e">
        <v>#N/A</v>
      </c>
      <c r="L1016" s="14" t="e">
        <v>#N/A</v>
      </c>
      <c r="M1016" s="14" t="e">
        <v>#N/A</v>
      </c>
    </row>
    <row r="1017" spans="5:13">
      <c r="E1017" s="13" t="e">
        <v>#N/A</v>
      </c>
      <c r="F1017" s="13" t="e">
        <v>#N/A</v>
      </c>
      <c r="G1017" s="14" t="e">
        <v>#N/A</v>
      </c>
      <c r="H1017" s="14" t="e">
        <v>#N/A</v>
      </c>
      <c r="J1017" s="13" t="e">
        <v>#N/A</v>
      </c>
      <c r="K1017" s="13" t="e">
        <v>#N/A</v>
      </c>
      <c r="L1017" s="14" t="e">
        <v>#N/A</v>
      </c>
      <c r="M1017" s="14" t="e">
        <v>#N/A</v>
      </c>
    </row>
    <row r="1018" spans="5:13">
      <c r="E1018" s="13" t="e">
        <v>#N/A</v>
      </c>
      <c r="F1018" s="13" t="e">
        <v>#N/A</v>
      </c>
      <c r="G1018" s="14" t="e">
        <v>#N/A</v>
      </c>
      <c r="H1018" s="14" t="e">
        <v>#N/A</v>
      </c>
      <c r="J1018" s="13" t="e">
        <v>#N/A</v>
      </c>
      <c r="K1018" s="13" t="e">
        <v>#N/A</v>
      </c>
      <c r="L1018" s="14" t="e">
        <v>#N/A</v>
      </c>
      <c r="M1018" s="14" t="e">
        <v>#N/A</v>
      </c>
    </row>
    <row r="1019" spans="5:13">
      <c r="E1019" s="13" t="e">
        <v>#N/A</v>
      </c>
      <c r="F1019" s="13" t="e">
        <v>#N/A</v>
      </c>
      <c r="G1019" s="14" t="e">
        <v>#N/A</v>
      </c>
      <c r="H1019" s="14" t="e">
        <v>#N/A</v>
      </c>
      <c r="J1019" s="13" t="e">
        <v>#N/A</v>
      </c>
      <c r="K1019" s="13" t="e">
        <v>#N/A</v>
      </c>
      <c r="L1019" s="14" t="e">
        <v>#N/A</v>
      </c>
      <c r="M1019" s="14" t="e">
        <v>#N/A</v>
      </c>
    </row>
    <row r="1020" spans="5:13">
      <c r="E1020" s="13" t="e">
        <v>#N/A</v>
      </c>
      <c r="F1020" s="13" t="e">
        <v>#N/A</v>
      </c>
      <c r="G1020" s="14" t="e">
        <v>#N/A</v>
      </c>
      <c r="H1020" s="14" t="e">
        <v>#N/A</v>
      </c>
      <c r="J1020" s="13" t="e">
        <v>#N/A</v>
      </c>
      <c r="K1020" s="13" t="e">
        <v>#N/A</v>
      </c>
      <c r="L1020" s="14" t="e">
        <v>#N/A</v>
      </c>
      <c r="M1020" s="14" t="e">
        <v>#N/A</v>
      </c>
    </row>
    <row r="1021" spans="5:13">
      <c r="E1021" s="13" t="e">
        <v>#N/A</v>
      </c>
      <c r="F1021" s="13" t="e">
        <v>#N/A</v>
      </c>
      <c r="G1021" s="14" t="e">
        <v>#N/A</v>
      </c>
      <c r="H1021" s="14" t="e">
        <v>#N/A</v>
      </c>
      <c r="J1021" s="13" t="e">
        <v>#N/A</v>
      </c>
      <c r="K1021" s="13" t="e">
        <v>#N/A</v>
      </c>
      <c r="L1021" s="14" t="e">
        <v>#N/A</v>
      </c>
      <c r="M1021" s="14" t="e">
        <v>#N/A</v>
      </c>
    </row>
    <row r="1022" spans="5:13">
      <c r="E1022" s="13" t="e">
        <v>#N/A</v>
      </c>
      <c r="F1022" s="13" t="e">
        <v>#N/A</v>
      </c>
      <c r="G1022" s="14" t="e">
        <v>#N/A</v>
      </c>
      <c r="H1022" s="14" t="e">
        <v>#N/A</v>
      </c>
      <c r="J1022" s="13" t="e">
        <v>#N/A</v>
      </c>
      <c r="K1022" s="13" t="e">
        <v>#N/A</v>
      </c>
      <c r="L1022" s="14" t="e">
        <v>#N/A</v>
      </c>
      <c r="M1022" s="14" t="e">
        <v>#N/A</v>
      </c>
    </row>
    <row r="1023" spans="5:13">
      <c r="E1023" s="13" t="e">
        <v>#N/A</v>
      </c>
      <c r="F1023" s="13" t="e">
        <v>#N/A</v>
      </c>
      <c r="G1023" s="14" t="e">
        <v>#N/A</v>
      </c>
      <c r="H1023" s="14" t="e">
        <v>#N/A</v>
      </c>
      <c r="J1023" s="13" t="e">
        <v>#N/A</v>
      </c>
      <c r="K1023" s="13" t="e">
        <v>#N/A</v>
      </c>
      <c r="L1023" s="14" t="e">
        <v>#N/A</v>
      </c>
      <c r="M1023" s="14" t="e">
        <v>#N/A</v>
      </c>
    </row>
    <row r="1024" spans="5:13">
      <c r="E1024" s="13" t="e">
        <v>#N/A</v>
      </c>
      <c r="F1024" s="13" t="e">
        <v>#N/A</v>
      </c>
      <c r="G1024" s="14" t="e">
        <v>#N/A</v>
      </c>
      <c r="H1024" s="14" t="e">
        <v>#N/A</v>
      </c>
      <c r="J1024" s="13" t="e">
        <v>#N/A</v>
      </c>
      <c r="K1024" s="13" t="e">
        <v>#N/A</v>
      </c>
      <c r="L1024" s="14" t="e">
        <v>#N/A</v>
      </c>
      <c r="M1024" s="14" t="e">
        <v>#N/A</v>
      </c>
    </row>
    <row r="1025" spans="5:13">
      <c r="E1025" s="13" t="e">
        <v>#N/A</v>
      </c>
      <c r="F1025" s="13" t="e">
        <v>#N/A</v>
      </c>
      <c r="G1025" s="14" t="e">
        <v>#N/A</v>
      </c>
      <c r="H1025" s="14" t="e">
        <v>#N/A</v>
      </c>
      <c r="J1025" s="13" t="e">
        <v>#N/A</v>
      </c>
      <c r="K1025" s="13" t="e">
        <v>#N/A</v>
      </c>
      <c r="L1025" s="14" t="e">
        <v>#N/A</v>
      </c>
      <c r="M1025" s="14" t="e">
        <v>#N/A</v>
      </c>
    </row>
    <row r="1026" spans="5:13">
      <c r="E1026" s="13" t="e">
        <v>#N/A</v>
      </c>
      <c r="F1026" s="13" t="e">
        <v>#N/A</v>
      </c>
      <c r="G1026" s="14" t="e">
        <v>#N/A</v>
      </c>
      <c r="H1026" s="14" t="e">
        <v>#N/A</v>
      </c>
      <c r="J1026" s="13" t="e">
        <v>#N/A</v>
      </c>
      <c r="K1026" s="13" t="e">
        <v>#N/A</v>
      </c>
      <c r="L1026" s="14" t="e">
        <v>#N/A</v>
      </c>
      <c r="M1026" s="14" t="e">
        <v>#N/A</v>
      </c>
    </row>
    <row r="1027" spans="5:13">
      <c r="E1027" s="13" t="e">
        <v>#N/A</v>
      </c>
      <c r="F1027" s="13" t="e">
        <v>#N/A</v>
      </c>
      <c r="G1027" s="14" t="e">
        <v>#N/A</v>
      </c>
      <c r="H1027" s="14" t="e">
        <v>#N/A</v>
      </c>
      <c r="J1027" s="13" t="e">
        <v>#N/A</v>
      </c>
      <c r="K1027" s="13" t="e">
        <v>#N/A</v>
      </c>
      <c r="L1027" s="14" t="e">
        <v>#N/A</v>
      </c>
      <c r="M1027" s="14" t="e">
        <v>#N/A</v>
      </c>
    </row>
    <row r="1028" spans="5:13">
      <c r="E1028" s="13" t="e">
        <v>#N/A</v>
      </c>
      <c r="F1028" s="13" t="e">
        <v>#N/A</v>
      </c>
      <c r="G1028" s="14" t="e">
        <v>#N/A</v>
      </c>
      <c r="H1028" s="14" t="e">
        <v>#N/A</v>
      </c>
      <c r="J1028" s="13" t="e">
        <v>#N/A</v>
      </c>
      <c r="K1028" s="13" t="e">
        <v>#N/A</v>
      </c>
      <c r="L1028" s="14" t="e">
        <v>#N/A</v>
      </c>
      <c r="M1028" s="14" t="e">
        <v>#N/A</v>
      </c>
    </row>
    <row r="1029" spans="5:13">
      <c r="E1029" s="13" t="e">
        <v>#N/A</v>
      </c>
      <c r="F1029" s="13" t="e">
        <v>#N/A</v>
      </c>
      <c r="G1029" s="14" t="e">
        <v>#N/A</v>
      </c>
      <c r="H1029" s="14" t="e">
        <v>#N/A</v>
      </c>
      <c r="J1029" s="13" t="e">
        <v>#N/A</v>
      </c>
      <c r="K1029" s="13" t="e">
        <v>#N/A</v>
      </c>
      <c r="L1029" s="14" t="e">
        <v>#N/A</v>
      </c>
      <c r="M1029" s="14" t="e">
        <v>#N/A</v>
      </c>
    </row>
    <row r="1030" spans="5:13">
      <c r="E1030" s="13" t="e">
        <v>#N/A</v>
      </c>
      <c r="F1030" s="13" t="e">
        <v>#N/A</v>
      </c>
      <c r="G1030" s="14" t="e">
        <v>#N/A</v>
      </c>
      <c r="H1030" s="14" t="e">
        <v>#N/A</v>
      </c>
      <c r="J1030" s="13" t="e">
        <v>#N/A</v>
      </c>
      <c r="K1030" s="13" t="e">
        <v>#N/A</v>
      </c>
      <c r="L1030" s="14" t="e">
        <v>#N/A</v>
      </c>
      <c r="M1030" s="14" t="e">
        <v>#N/A</v>
      </c>
    </row>
    <row r="1031" spans="5:13">
      <c r="E1031" s="13" t="e">
        <v>#N/A</v>
      </c>
      <c r="F1031" s="13" t="e">
        <v>#N/A</v>
      </c>
      <c r="G1031" s="14" t="e">
        <v>#N/A</v>
      </c>
      <c r="H1031" s="14" t="e">
        <v>#N/A</v>
      </c>
      <c r="J1031" s="13" t="e">
        <v>#N/A</v>
      </c>
      <c r="K1031" s="13" t="e">
        <v>#N/A</v>
      </c>
      <c r="L1031" s="14" t="e">
        <v>#N/A</v>
      </c>
      <c r="M1031" s="14" t="e">
        <v>#N/A</v>
      </c>
    </row>
    <row r="1032" spans="5:13">
      <c r="E1032" s="13" t="e">
        <v>#N/A</v>
      </c>
      <c r="F1032" s="13" t="e">
        <v>#N/A</v>
      </c>
      <c r="G1032" s="14" t="e">
        <v>#N/A</v>
      </c>
      <c r="H1032" s="14" t="e">
        <v>#N/A</v>
      </c>
      <c r="J1032" s="13" t="e">
        <v>#N/A</v>
      </c>
      <c r="K1032" s="13" t="e">
        <v>#N/A</v>
      </c>
      <c r="L1032" s="14" t="e">
        <v>#N/A</v>
      </c>
      <c r="M1032" s="14" t="e">
        <v>#N/A</v>
      </c>
    </row>
    <row r="1033" spans="5:13">
      <c r="E1033" s="13" t="e">
        <v>#N/A</v>
      </c>
      <c r="F1033" s="13" t="e">
        <v>#N/A</v>
      </c>
      <c r="G1033" s="14" t="e">
        <v>#N/A</v>
      </c>
      <c r="H1033" s="14" t="e">
        <v>#N/A</v>
      </c>
      <c r="J1033" s="13" t="e">
        <v>#N/A</v>
      </c>
      <c r="K1033" s="13" t="e">
        <v>#N/A</v>
      </c>
      <c r="L1033" s="14" t="e">
        <v>#N/A</v>
      </c>
      <c r="M1033" s="14" t="e">
        <v>#N/A</v>
      </c>
    </row>
    <row r="1034" spans="5:13">
      <c r="E1034" s="13" t="e">
        <v>#N/A</v>
      </c>
      <c r="F1034" s="13" t="e">
        <v>#N/A</v>
      </c>
      <c r="G1034" s="14" t="e">
        <v>#N/A</v>
      </c>
      <c r="H1034" s="14" t="e">
        <v>#N/A</v>
      </c>
      <c r="J1034" s="13" t="e">
        <v>#N/A</v>
      </c>
      <c r="K1034" s="13" t="e">
        <v>#N/A</v>
      </c>
      <c r="L1034" s="14" t="e">
        <v>#N/A</v>
      </c>
      <c r="M1034" s="14" t="e">
        <v>#N/A</v>
      </c>
    </row>
    <row r="1035" spans="5:13">
      <c r="E1035" s="13" t="e">
        <v>#N/A</v>
      </c>
      <c r="F1035" s="13" t="e">
        <v>#N/A</v>
      </c>
      <c r="G1035" s="14" t="e">
        <v>#N/A</v>
      </c>
      <c r="H1035" s="14" t="e">
        <v>#N/A</v>
      </c>
      <c r="J1035" s="13" t="e">
        <v>#N/A</v>
      </c>
      <c r="K1035" s="13" t="e">
        <v>#N/A</v>
      </c>
      <c r="L1035" s="14" t="e">
        <v>#N/A</v>
      </c>
      <c r="M1035" s="14" t="e">
        <v>#N/A</v>
      </c>
    </row>
    <row r="1036" spans="5:13">
      <c r="E1036" s="13" t="e">
        <v>#N/A</v>
      </c>
      <c r="F1036" s="13" t="e">
        <v>#N/A</v>
      </c>
      <c r="G1036" s="14" t="e">
        <v>#N/A</v>
      </c>
      <c r="H1036" s="14" t="e">
        <v>#N/A</v>
      </c>
      <c r="J1036" s="13" t="e">
        <v>#N/A</v>
      </c>
      <c r="K1036" s="13" t="e">
        <v>#N/A</v>
      </c>
      <c r="L1036" s="14" t="e">
        <v>#N/A</v>
      </c>
      <c r="M1036" s="14" t="e">
        <v>#N/A</v>
      </c>
    </row>
    <row r="1037" spans="5:13">
      <c r="E1037" s="13" t="e">
        <v>#N/A</v>
      </c>
      <c r="F1037" s="13" t="e">
        <v>#N/A</v>
      </c>
      <c r="G1037" s="14" t="e">
        <v>#N/A</v>
      </c>
      <c r="H1037" s="14" t="e">
        <v>#N/A</v>
      </c>
      <c r="J1037" s="13" t="e">
        <v>#N/A</v>
      </c>
      <c r="K1037" s="13" t="e">
        <v>#N/A</v>
      </c>
      <c r="L1037" s="14" t="e">
        <v>#N/A</v>
      </c>
      <c r="M1037" s="14" t="e">
        <v>#N/A</v>
      </c>
    </row>
    <row r="1038" spans="5:13">
      <c r="E1038" s="13" t="e">
        <v>#N/A</v>
      </c>
      <c r="F1038" s="13" t="e">
        <v>#N/A</v>
      </c>
      <c r="G1038" s="14" t="e">
        <v>#N/A</v>
      </c>
      <c r="H1038" s="14" t="e">
        <v>#N/A</v>
      </c>
      <c r="J1038" s="13" t="e">
        <v>#N/A</v>
      </c>
      <c r="K1038" s="13" t="e">
        <v>#N/A</v>
      </c>
      <c r="L1038" s="14" t="e">
        <v>#N/A</v>
      </c>
      <c r="M1038" s="14" t="e">
        <v>#N/A</v>
      </c>
    </row>
    <row r="1039" spans="5:13">
      <c r="E1039" s="13" t="e">
        <v>#N/A</v>
      </c>
      <c r="F1039" s="13" t="e">
        <v>#N/A</v>
      </c>
      <c r="G1039" s="14" t="e">
        <v>#N/A</v>
      </c>
      <c r="H1039" s="14" t="e">
        <v>#N/A</v>
      </c>
      <c r="J1039" s="13" t="e">
        <v>#N/A</v>
      </c>
      <c r="K1039" s="13" t="e">
        <v>#N/A</v>
      </c>
      <c r="L1039" s="14" t="e">
        <v>#N/A</v>
      </c>
      <c r="M1039" s="14" t="e">
        <v>#N/A</v>
      </c>
    </row>
    <row r="1040" spans="5:13">
      <c r="E1040" s="13" t="e">
        <v>#N/A</v>
      </c>
      <c r="F1040" s="13" t="e">
        <v>#N/A</v>
      </c>
      <c r="G1040" s="14" t="e">
        <v>#N/A</v>
      </c>
      <c r="H1040" s="14" t="e">
        <v>#N/A</v>
      </c>
      <c r="J1040" s="13" t="e">
        <v>#N/A</v>
      </c>
      <c r="K1040" s="13" t="e">
        <v>#N/A</v>
      </c>
      <c r="L1040" s="14" t="e">
        <v>#N/A</v>
      </c>
      <c r="M1040" s="14" t="e">
        <v>#N/A</v>
      </c>
    </row>
    <row r="1041" spans="5:13">
      <c r="E1041" s="13" t="e">
        <v>#N/A</v>
      </c>
      <c r="F1041" s="13" t="e">
        <v>#N/A</v>
      </c>
      <c r="G1041" s="14" t="e">
        <v>#N/A</v>
      </c>
      <c r="H1041" s="14" t="e">
        <v>#N/A</v>
      </c>
      <c r="J1041" s="13" t="e">
        <v>#N/A</v>
      </c>
      <c r="K1041" s="13" t="e">
        <v>#N/A</v>
      </c>
      <c r="L1041" s="14" t="e">
        <v>#N/A</v>
      </c>
      <c r="M1041" s="14" t="e">
        <v>#N/A</v>
      </c>
    </row>
    <row r="1042" spans="5:13">
      <c r="E1042" s="13" t="e">
        <v>#N/A</v>
      </c>
      <c r="F1042" s="13" t="e">
        <v>#N/A</v>
      </c>
      <c r="G1042" s="14" t="e">
        <v>#N/A</v>
      </c>
      <c r="H1042" s="14" t="e">
        <v>#N/A</v>
      </c>
      <c r="J1042" s="13" t="e">
        <v>#N/A</v>
      </c>
      <c r="K1042" s="13" t="e">
        <v>#N/A</v>
      </c>
      <c r="L1042" s="14" t="e">
        <v>#N/A</v>
      </c>
      <c r="M1042" s="14" t="e">
        <v>#N/A</v>
      </c>
    </row>
    <row r="1043" spans="5:13">
      <c r="E1043" s="13" t="e">
        <v>#N/A</v>
      </c>
      <c r="F1043" s="13" t="e">
        <v>#N/A</v>
      </c>
      <c r="G1043" s="14" t="e">
        <v>#N/A</v>
      </c>
      <c r="H1043" s="14" t="e">
        <v>#N/A</v>
      </c>
      <c r="J1043" s="13" t="e">
        <v>#N/A</v>
      </c>
      <c r="K1043" s="13" t="e">
        <v>#N/A</v>
      </c>
      <c r="L1043" s="14" t="e">
        <v>#N/A</v>
      </c>
      <c r="M1043" s="14" t="e">
        <v>#N/A</v>
      </c>
    </row>
    <row r="1044" spans="5:13">
      <c r="E1044" s="13" t="e">
        <v>#N/A</v>
      </c>
      <c r="F1044" s="13" t="e">
        <v>#N/A</v>
      </c>
      <c r="G1044" s="14" t="e">
        <v>#N/A</v>
      </c>
      <c r="H1044" s="14" t="e">
        <v>#N/A</v>
      </c>
      <c r="J1044" s="13" t="e">
        <v>#N/A</v>
      </c>
      <c r="K1044" s="13" t="e">
        <v>#N/A</v>
      </c>
      <c r="L1044" s="14" t="e">
        <v>#N/A</v>
      </c>
      <c r="M1044" s="14" t="e">
        <v>#N/A</v>
      </c>
    </row>
    <row r="1045" spans="5:13">
      <c r="E1045" s="13" t="e">
        <v>#N/A</v>
      </c>
      <c r="F1045" s="13" t="e">
        <v>#N/A</v>
      </c>
      <c r="G1045" s="14" t="e">
        <v>#N/A</v>
      </c>
      <c r="H1045" s="14" t="e">
        <v>#N/A</v>
      </c>
      <c r="J1045" s="13" t="e">
        <v>#N/A</v>
      </c>
      <c r="K1045" s="13" t="e">
        <v>#N/A</v>
      </c>
      <c r="L1045" s="14" t="e">
        <v>#N/A</v>
      </c>
      <c r="M1045" s="14" t="e">
        <v>#N/A</v>
      </c>
    </row>
    <row r="1046" spans="5:13">
      <c r="E1046" s="13" t="e">
        <v>#N/A</v>
      </c>
      <c r="F1046" s="13" t="e">
        <v>#N/A</v>
      </c>
      <c r="G1046" s="14" t="e">
        <v>#N/A</v>
      </c>
      <c r="H1046" s="14" t="e">
        <v>#N/A</v>
      </c>
      <c r="J1046" s="13" t="e">
        <v>#N/A</v>
      </c>
      <c r="K1046" s="13" t="e">
        <v>#N/A</v>
      </c>
      <c r="L1046" s="14" t="e">
        <v>#N/A</v>
      </c>
      <c r="M1046" s="14" t="e">
        <v>#N/A</v>
      </c>
    </row>
    <row r="1047" spans="5:13">
      <c r="E1047" s="13" t="e">
        <v>#N/A</v>
      </c>
      <c r="F1047" s="13" t="e">
        <v>#N/A</v>
      </c>
      <c r="G1047" s="14" t="e">
        <v>#N/A</v>
      </c>
      <c r="H1047" s="14" t="e">
        <v>#N/A</v>
      </c>
      <c r="J1047" s="13" t="e">
        <v>#N/A</v>
      </c>
      <c r="K1047" s="13" t="e">
        <v>#N/A</v>
      </c>
      <c r="L1047" s="14" t="e">
        <v>#N/A</v>
      </c>
      <c r="M1047" s="14" t="e">
        <v>#N/A</v>
      </c>
    </row>
    <row r="1048" spans="5:13">
      <c r="E1048" s="13" t="e">
        <v>#N/A</v>
      </c>
      <c r="F1048" s="13" t="e">
        <v>#N/A</v>
      </c>
      <c r="G1048" s="14" t="e">
        <v>#N/A</v>
      </c>
      <c r="H1048" s="14" t="e">
        <v>#N/A</v>
      </c>
      <c r="J1048" s="13" t="e">
        <v>#N/A</v>
      </c>
      <c r="K1048" s="13" t="e">
        <v>#N/A</v>
      </c>
      <c r="L1048" s="14" t="e">
        <v>#N/A</v>
      </c>
      <c r="M1048" s="14" t="e">
        <v>#N/A</v>
      </c>
    </row>
    <row r="1049" spans="5:13">
      <c r="E1049" s="13" t="e">
        <v>#N/A</v>
      </c>
      <c r="F1049" s="13" t="e">
        <v>#N/A</v>
      </c>
      <c r="G1049" s="14" t="e">
        <v>#N/A</v>
      </c>
      <c r="H1049" s="14" t="e">
        <v>#N/A</v>
      </c>
      <c r="J1049" s="13" t="e">
        <v>#N/A</v>
      </c>
      <c r="K1049" s="13" t="e">
        <v>#N/A</v>
      </c>
      <c r="L1049" s="14" t="e">
        <v>#N/A</v>
      </c>
      <c r="M1049" s="14" t="e">
        <v>#N/A</v>
      </c>
    </row>
    <row r="1050" spans="5:13">
      <c r="E1050" s="13" t="e">
        <v>#N/A</v>
      </c>
      <c r="F1050" s="13" t="e">
        <v>#N/A</v>
      </c>
      <c r="G1050" s="14" t="e">
        <v>#N/A</v>
      </c>
      <c r="H1050" s="14" t="e">
        <v>#N/A</v>
      </c>
      <c r="J1050" s="13" t="e">
        <v>#N/A</v>
      </c>
      <c r="K1050" s="13" t="e">
        <v>#N/A</v>
      </c>
      <c r="L1050" s="14" t="e">
        <v>#N/A</v>
      </c>
      <c r="M1050" s="14" t="e">
        <v>#N/A</v>
      </c>
    </row>
    <row r="1051" spans="5:13">
      <c r="E1051" s="13" t="e">
        <v>#N/A</v>
      </c>
      <c r="F1051" s="13" t="e">
        <v>#N/A</v>
      </c>
      <c r="G1051" s="14" t="e">
        <v>#N/A</v>
      </c>
      <c r="H1051" s="14" t="e">
        <v>#N/A</v>
      </c>
      <c r="J1051" s="13" t="e">
        <v>#N/A</v>
      </c>
      <c r="K1051" s="13" t="e">
        <v>#N/A</v>
      </c>
      <c r="L1051" s="14" t="e">
        <v>#N/A</v>
      </c>
      <c r="M1051" s="14" t="e">
        <v>#N/A</v>
      </c>
    </row>
    <row r="1052" spans="5:13">
      <c r="E1052" s="13" t="e">
        <v>#N/A</v>
      </c>
      <c r="F1052" s="13" t="e">
        <v>#N/A</v>
      </c>
      <c r="G1052" s="14" t="e">
        <v>#N/A</v>
      </c>
      <c r="H1052" s="14" t="e">
        <v>#N/A</v>
      </c>
      <c r="J1052" s="13" t="e">
        <v>#N/A</v>
      </c>
      <c r="K1052" s="13" t="e">
        <v>#N/A</v>
      </c>
      <c r="L1052" s="14" t="e">
        <v>#N/A</v>
      </c>
      <c r="M1052" s="14" t="e">
        <v>#N/A</v>
      </c>
    </row>
    <row r="1053" spans="5:13">
      <c r="E1053" s="13" t="e">
        <v>#N/A</v>
      </c>
      <c r="F1053" s="13" t="e">
        <v>#N/A</v>
      </c>
      <c r="G1053" s="14" t="e">
        <v>#N/A</v>
      </c>
      <c r="H1053" s="14" t="e">
        <v>#N/A</v>
      </c>
      <c r="J1053" s="13" t="e">
        <v>#N/A</v>
      </c>
      <c r="K1053" s="13" t="e">
        <v>#N/A</v>
      </c>
      <c r="L1053" s="14" t="e">
        <v>#N/A</v>
      </c>
      <c r="M1053" s="14" t="e">
        <v>#N/A</v>
      </c>
    </row>
    <row r="1054" spans="5:13">
      <c r="E1054" s="13" t="e">
        <v>#N/A</v>
      </c>
      <c r="F1054" s="13" t="e">
        <v>#N/A</v>
      </c>
      <c r="G1054" s="14" t="e">
        <v>#N/A</v>
      </c>
      <c r="H1054" s="14" t="e">
        <v>#N/A</v>
      </c>
      <c r="J1054" s="13" t="e">
        <v>#N/A</v>
      </c>
      <c r="K1054" s="13" t="e">
        <v>#N/A</v>
      </c>
      <c r="L1054" s="14" t="e">
        <v>#N/A</v>
      </c>
      <c r="M1054" s="14" t="e">
        <v>#N/A</v>
      </c>
    </row>
    <row r="1055" spans="5:13">
      <c r="E1055" s="13" t="e">
        <v>#N/A</v>
      </c>
      <c r="F1055" s="13" t="e">
        <v>#N/A</v>
      </c>
      <c r="G1055" s="14" t="e">
        <v>#N/A</v>
      </c>
      <c r="H1055" s="14" t="e">
        <v>#N/A</v>
      </c>
      <c r="J1055" s="13" t="e">
        <v>#N/A</v>
      </c>
      <c r="K1055" s="13" t="e">
        <v>#N/A</v>
      </c>
      <c r="L1055" s="14" t="e">
        <v>#N/A</v>
      </c>
      <c r="M1055" s="14" t="e">
        <v>#N/A</v>
      </c>
    </row>
    <row r="1056" spans="5:13">
      <c r="E1056" s="13" t="e">
        <v>#N/A</v>
      </c>
      <c r="F1056" s="13" t="e">
        <v>#N/A</v>
      </c>
      <c r="G1056" s="14" t="e">
        <v>#N/A</v>
      </c>
      <c r="H1056" s="14" t="e">
        <v>#N/A</v>
      </c>
      <c r="J1056" s="13" t="e">
        <v>#N/A</v>
      </c>
      <c r="K1056" s="13" t="e">
        <v>#N/A</v>
      </c>
      <c r="L1056" s="14" t="e">
        <v>#N/A</v>
      </c>
      <c r="M1056" s="14" t="e">
        <v>#N/A</v>
      </c>
    </row>
    <row r="1057" spans="5:13">
      <c r="E1057" s="13" t="e">
        <v>#N/A</v>
      </c>
      <c r="F1057" s="13" t="e">
        <v>#N/A</v>
      </c>
      <c r="G1057" s="14" t="e">
        <v>#N/A</v>
      </c>
      <c r="H1057" s="14" t="e">
        <v>#N/A</v>
      </c>
      <c r="J1057" s="13" t="e">
        <v>#N/A</v>
      </c>
      <c r="K1057" s="13" t="e">
        <v>#N/A</v>
      </c>
      <c r="L1057" s="14" t="e">
        <v>#N/A</v>
      </c>
      <c r="M1057" s="14" t="e">
        <v>#N/A</v>
      </c>
    </row>
    <row r="1058" spans="5:13">
      <c r="E1058" s="13" t="e">
        <v>#N/A</v>
      </c>
      <c r="F1058" s="13" t="e">
        <v>#N/A</v>
      </c>
      <c r="G1058" s="14" t="e">
        <v>#N/A</v>
      </c>
      <c r="H1058" s="14" t="e">
        <v>#N/A</v>
      </c>
      <c r="J1058" s="13" t="e">
        <v>#N/A</v>
      </c>
      <c r="K1058" s="13" t="e">
        <v>#N/A</v>
      </c>
      <c r="L1058" s="14" t="e">
        <v>#N/A</v>
      </c>
      <c r="M1058" s="14" t="e">
        <v>#N/A</v>
      </c>
    </row>
    <row r="1059" spans="5:13">
      <c r="E1059" s="13" t="e">
        <v>#N/A</v>
      </c>
      <c r="F1059" s="13" t="e">
        <v>#N/A</v>
      </c>
      <c r="G1059" s="14" t="e">
        <v>#N/A</v>
      </c>
      <c r="H1059" s="14" t="e">
        <v>#N/A</v>
      </c>
      <c r="J1059" s="13" t="e">
        <v>#N/A</v>
      </c>
      <c r="K1059" s="13" t="e">
        <v>#N/A</v>
      </c>
      <c r="L1059" s="14" t="e">
        <v>#N/A</v>
      </c>
      <c r="M1059" s="14" t="e">
        <v>#N/A</v>
      </c>
    </row>
    <row r="1060" spans="5:13">
      <c r="E1060" s="13" t="e">
        <v>#N/A</v>
      </c>
      <c r="F1060" s="13" t="e">
        <v>#N/A</v>
      </c>
      <c r="G1060" s="14" t="e">
        <v>#N/A</v>
      </c>
      <c r="H1060" s="14" t="e">
        <v>#N/A</v>
      </c>
      <c r="J1060" s="13" t="e">
        <v>#N/A</v>
      </c>
      <c r="K1060" s="13" t="e">
        <v>#N/A</v>
      </c>
      <c r="L1060" s="14" t="e">
        <v>#N/A</v>
      </c>
      <c r="M1060" s="14" t="e">
        <v>#N/A</v>
      </c>
    </row>
    <row r="1061" spans="5:13">
      <c r="E1061" s="13" t="e">
        <v>#N/A</v>
      </c>
      <c r="F1061" s="13" t="e">
        <v>#N/A</v>
      </c>
      <c r="G1061" s="14" t="e">
        <v>#N/A</v>
      </c>
      <c r="H1061" s="14" t="e">
        <v>#N/A</v>
      </c>
      <c r="J1061" s="13" t="e">
        <v>#N/A</v>
      </c>
      <c r="K1061" s="13" t="e">
        <v>#N/A</v>
      </c>
      <c r="L1061" s="14" t="e">
        <v>#N/A</v>
      </c>
      <c r="M1061" s="14" t="e">
        <v>#N/A</v>
      </c>
    </row>
    <row r="1062" spans="5:13">
      <c r="E1062" s="13" t="e">
        <v>#N/A</v>
      </c>
      <c r="F1062" s="13" t="e">
        <v>#N/A</v>
      </c>
      <c r="G1062" s="14" t="e">
        <v>#N/A</v>
      </c>
      <c r="H1062" s="14" t="e">
        <v>#N/A</v>
      </c>
      <c r="J1062" s="13" t="e">
        <v>#N/A</v>
      </c>
      <c r="K1062" s="13" t="e">
        <v>#N/A</v>
      </c>
      <c r="L1062" s="14" t="e">
        <v>#N/A</v>
      </c>
      <c r="M1062" s="14" t="e">
        <v>#N/A</v>
      </c>
    </row>
    <row r="1063" spans="5:13">
      <c r="E1063" s="13" t="e">
        <v>#N/A</v>
      </c>
      <c r="F1063" s="13" t="e">
        <v>#N/A</v>
      </c>
      <c r="G1063" s="14" t="e">
        <v>#N/A</v>
      </c>
      <c r="H1063" s="14" t="e">
        <v>#N/A</v>
      </c>
      <c r="J1063" s="13" t="e">
        <v>#N/A</v>
      </c>
      <c r="K1063" s="13" t="e">
        <v>#N/A</v>
      </c>
      <c r="L1063" s="14" t="e">
        <v>#N/A</v>
      </c>
      <c r="M1063" s="14" t="e">
        <v>#N/A</v>
      </c>
    </row>
    <row r="1064" spans="5:13">
      <c r="E1064" s="13" t="e">
        <v>#N/A</v>
      </c>
      <c r="F1064" s="13" t="e">
        <v>#N/A</v>
      </c>
      <c r="G1064" s="14" t="e">
        <v>#N/A</v>
      </c>
      <c r="H1064" s="14" t="e">
        <v>#N/A</v>
      </c>
      <c r="J1064" s="13" t="e">
        <v>#N/A</v>
      </c>
      <c r="K1064" s="13" t="e">
        <v>#N/A</v>
      </c>
      <c r="L1064" s="14" t="e">
        <v>#N/A</v>
      </c>
      <c r="M1064" s="14" t="e">
        <v>#N/A</v>
      </c>
    </row>
    <row r="1065" spans="5:13">
      <c r="E1065" s="13" t="e">
        <v>#N/A</v>
      </c>
      <c r="F1065" s="13" t="e">
        <v>#N/A</v>
      </c>
      <c r="G1065" s="14" t="e">
        <v>#N/A</v>
      </c>
      <c r="H1065" s="14" t="e">
        <v>#N/A</v>
      </c>
      <c r="J1065" s="13" t="e">
        <v>#N/A</v>
      </c>
      <c r="K1065" s="13" t="e">
        <v>#N/A</v>
      </c>
      <c r="L1065" s="14" t="e">
        <v>#N/A</v>
      </c>
      <c r="M1065" s="14" t="e">
        <v>#N/A</v>
      </c>
    </row>
    <row r="1066" spans="5:13">
      <c r="E1066" s="13" t="e">
        <v>#N/A</v>
      </c>
      <c r="F1066" s="13" t="e">
        <v>#N/A</v>
      </c>
      <c r="G1066" s="14" t="e">
        <v>#N/A</v>
      </c>
      <c r="H1066" s="14" t="e">
        <v>#N/A</v>
      </c>
      <c r="J1066" s="13" t="e">
        <v>#N/A</v>
      </c>
      <c r="K1066" s="13" t="e">
        <v>#N/A</v>
      </c>
      <c r="L1066" s="14" t="e">
        <v>#N/A</v>
      </c>
      <c r="M1066" s="14" t="e">
        <v>#N/A</v>
      </c>
    </row>
    <row r="1067" spans="5:13">
      <c r="E1067" s="13" t="e">
        <v>#N/A</v>
      </c>
      <c r="F1067" s="13" t="e">
        <v>#N/A</v>
      </c>
      <c r="G1067" s="14" t="e">
        <v>#N/A</v>
      </c>
      <c r="H1067" s="14" t="e">
        <v>#N/A</v>
      </c>
      <c r="J1067" s="13" t="e">
        <v>#N/A</v>
      </c>
      <c r="K1067" s="13" t="e">
        <v>#N/A</v>
      </c>
      <c r="L1067" s="14" t="e">
        <v>#N/A</v>
      </c>
      <c r="M1067" s="14" t="e">
        <v>#N/A</v>
      </c>
    </row>
    <row r="1068" spans="5:13">
      <c r="E1068" s="13" t="e">
        <v>#N/A</v>
      </c>
      <c r="F1068" s="13" t="e">
        <v>#N/A</v>
      </c>
      <c r="G1068" s="14" t="e">
        <v>#N/A</v>
      </c>
      <c r="H1068" s="14" t="e">
        <v>#N/A</v>
      </c>
      <c r="J1068" s="13" t="e">
        <v>#N/A</v>
      </c>
      <c r="K1068" s="13" t="e">
        <v>#N/A</v>
      </c>
      <c r="L1068" s="14" t="e">
        <v>#N/A</v>
      </c>
      <c r="M1068" s="14" t="e">
        <v>#N/A</v>
      </c>
    </row>
    <row r="1069" spans="5:13">
      <c r="E1069" s="13" t="e">
        <v>#N/A</v>
      </c>
      <c r="F1069" s="13" t="e">
        <v>#N/A</v>
      </c>
      <c r="G1069" s="14" t="e">
        <v>#N/A</v>
      </c>
      <c r="H1069" s="14" t="e">
        <v>#N/A</v>
      </c>
      <c r="J1069" s="13" t="e">
        <v>#N/A</v>
      </c>
      <c r="K1069" s="13" t="e">
        <v>#N/A</v>
      </c>
      <c r="L1069" s="14" t="e">
        <v>#N/A</v>
      </c>
      <c r="M1069" s="14" t="e">
        <v>#N/A</v>
      </c>
    </row>
    <row r="1070" spans="5:13">
      <c r="E1070" s="13" t="e">
        <v>#N/A</v>
      </c>
      <c r="F1070" s="13" t="e">
        <v>#N/A</v>
      </c>
      <c r="G1070" s="14" t="e">
        <v>#N/A</v>
      </c>
      <c r="H1070" s="14" t="e">
        <v>#N/A</v>
      </c>
      <c r="J1070" s="13" t="e">
        <v>#N/A</v>
      </c>
      <c r="K1070" s="13" t="e">
        <v>#N/A</v>
      </c>
      <c r="L1070" s="14" t="e">
        <v>#N/A</v>
      </c>
      <c r="M1070" s="14" t="e">
        <v>#N/A</v>
      </c>
    </row>
    <row r="1071" spans="5:13">
      <c r="E1071" s="13" t="e">
        <v>#N/A</v>
      </c>
      <c r="F1071" s="13" t="e">
        <v>#N/A</v>
      </c>
      <c r="G1071" s="14" t="e">
        <v>#N/A</v>
      </c>
      <c r="H1071" s="14" t="e">
        <v>#N/A</v>
      </c>
      <c r="J1071" s="13" t="e">
        <v>#N/A</v>
      </c>
      <c r="K1071" s="13" t="e">
        <v>#N/A</v>
      </c>
      <c r="L1071" s="14" t="e">
        <v>#N/A</v>
      </c>
      <c r="M1071" s="14" t="e">
        <v>#N/A</v>
      </c>
    </row>
    <row r="1072" spans="5:13">
      <c r="E1072" s="13" t="e">
        <v>#N/A</v>
      </c>
      <c r="F1072" s="13" t="e">
        <v>#N/A</v>
      </c>
      <c r="G1072" s="14" t="e">
        <v>#N/A</v>
      </c>
      <c r="H1072" s="14" t="e">
        <v>#N/A</v>
      </c>
      <c r="J1072" s="13" t="e">
        <v>#N/A</v>
      </c>
      <c r="K1072" s="13" t="e">
        <v>#N/A</v>
      </c>
      <c r="L1072" s="14" t="e">
        <v>#N/A</v>
      </c>
      <c r="M1072" s="14" t="e">
        <v>#N/A</v>
      </c>
    </row>
    <row r="1073" spans="5:13">
      <c r="E1073" s="13" t="e">
        <v>#N/A</v>
      </c>
      <c r="F1073" s="13" t="e">
        <v>#N/A</v>
      </c>
      <c r="G1073" s="14" t="e">
        <v>#N/A</v>
      </c>
      <c r="H1073" s="14" t="e">
        <v>#N/A</v>
      </c>
      <c r="J1073" s="13" t="e">
        <v>#N/A</v>
      </c>
      <c r="K1073" s="13" t="e">
        <v>#N/A</v>
      </c>
      <c r="L1073" s="14" t="e">
        <v>#N/A</v>
      </c>
      <c r="M1073" s="14" t="e">
        <v>#N/A</v>
      </c>
    </row>
    <row r="1074" spans="5:13">
      <c r="E1074" s="13" t="e">
        <v>#N/A</v>
      </c>
      <c r="F1074" s="13" t="e">
        <v>#N/A</v>
      </c>
      <c r="G1074" s="14" t="e">
        <v>#N/A</v>
      </c>
      <c r="H1074" s="14" t="e">
        <v>#N/A</v>
      </c>
      <c r="J1074" s="13" t="e">
        <v>#N/A</v>
      </c>
      <c r="K1074" s="13" t="e">
        <v>#N/A</v>
      </c>
      <c r="L1074" s="14" t="e">
        <v>#N/A</v>
      </c>
      <c r="M1074" s="14" t="e">
        <v>#N/A</v>
      </c>
    </row>
    <row r="1075" spans="5:13">
      <c r="E1075" s="13" t="e">
        <v>#N/A</v>
      </c>
      <c r="F1075" s="13" t="e">
        <v>#N/A</v>
      </c>
      <c r="G1075" s="14" t="e">
        <v>#N/A</v>
      </c>
      <c r="H1075" s="14" t="e">
        <v>#N/A</v>
      </c>
      <c r="J1075" s="13" t="e">
        <v>#N/A</v>
      </c>
      <c r="K1075" s="13" t="e">
        <v>#N/A</v>
      </c>
      <c r="L1075" s="14" t="e">
        <v>#N/A</v>
      </c>
      <c r="M1075" s="14" t="e">
        <v>#N/A</v>
      </c>
    </row>
    <row r="1076" spans="5:13">
      <c r="E1076" s="13" t="e">
        <v>#N/A</v>
      </c>
      <c r="F1076" s="13" t="e">
        <v>#N/A</v>
      </c>
      <c r="G1076" s="14" t="e">
        <v>#N/A</v>
      </c>
      <c r="H1076" s="14" t="e">
        <v>#N/A</v>
      </c>
      <c r="J1076" s="13" t="e">
        <v>#N/A</v>
      </c>
      <c r="K1076" s="13" t="e">
        <v>#N/A</v>
      </c>
      <c r="L1076" s="14" t="e">
        <v>#N/A</v>
      </c>
      <c r="M1076" s="14" t="e">
        <v>#N/A</v>
      </c>
    </row>
    <row r="1077" spans="5:13">
      <c r="E1077" s="13" t="e">
        <v>#N/A</v>
      </c>
      <c r="F1077" s="13" t="e">
        <v>#N/A</v>
      </c>
      <c r="G1077" s="14" t="e">
        <v>#N/A</v>
      </c>
      <c r="H1077" s="14" t="e">
        <v>#N/A</v>
      </c>
      <c r="J1077" s="13" t="e">
        <v>#N/A</v>
      </c>
      <c r="K1077" s="13" t="e">
        <v>#N/A</v>
      </c>
      <c r="L1077" s="14" t="e">
        <v>#N/A</v>
      </c>
      <c r="M1077" s="14" t="e">
        <v>#N/A</v>
      </c>
    </row>
    <row r="1078" spans="5:13">
      <c r="E1078" s="13" t="e">
        <v>#N/A</v>
      </c>
      <c r="F1078" s="13" t="e">
        <v>#N/A</v>
      </c>
      <c r="G1078" s="14" t="e">
        <v>#N/A</v>
      </c>
      <c r="H1078" s="14" t="e">
        <v>#N/A</v>
      </c>
      <c r="J1078" s="13" t="e">
        <v>#N/A</v>
      </c>
      <c r="K1078" s="13" t="e">
        <v>#N/A</v>
      </c>
      <c r="L1078" s="14" t="e">
        <v>#N/A</v>
      </c>
      <c r="M1078" s="14" t="e">
        <v>#N/A</v>
      </c>
    </row>
    <row r="1079" spans="5:13">
      <c r="E1079" s="13" t="e">
        <v>#N/A</v>
      </c>
      <c r="F1079" s="13" t="e">
        <v>#N/A</v>
      </c>
      <c r="G1079" s="14" t="e">
        <v>#N/A</v>
      </c>
      <c r="H1079" s="14" t="e">
        <v>#N/A</v>
      </c>
      <c r="J1079" s="13" t="e">
        <v>#N/A</v>
      </c>
      <c r="K1079" s="13" t="e">
        <v>#N/A</v>
      </c>
      <c r="L1079" s="14" t="e">
        <v>#N/A</v>
      </c>
      <c r="M1079" s="14" t="e">
        <v>#N/A</v>
      </c>
    </row>
    <row r="1080" spans="5:13">
      <c r="E1080" s="13" t="e">
        <v>#N/A</v>
      </c>
      <c r="F1080" s="13" t="e">
        <v>#N/A</v>
      </c>
      <c r="G1080" s="14" t="e">
        <v>#N/A</v>
      </c>
      <c r="H1080" s="14" t="e">
        <v>#N/A</v>
      </c>
      <c r="J1080" s="13" t="e">
        <v>#N/A</v>
      </c>
      <c r="K1080" s="13" t="e">
        <v>#N/A</v>
      </c>
      <c r="L1080" s="14" t="e">
        <v>#N/A</v>
      </c>
      <c r="M1080" s="14" t="e">
        <v>#N/A</v>
      </c>
    </row>
    <row r="1081" spans="5:13">
      <c r="E1081" s="13" t="e">
        <v>#N/A</v>
      </c>
      <c r="F1081" s="13" t="e">
        <v>#N/A</v>
      </c>
      <c r="G1081" s="14" t="e">
        <v>#N/A</v>
      </c>
      <c r="H1081" s="14" t="e">
        <v>#N/A</v>
      </c>
      <c r="J1081" s="13" t="e">
        <v>#N/A</v>
      </c>
      <c r="K1081" s="13" t="e">
        <v>#N/A</v>
      </c>
      <c r="L1081" s="14" t="e">
        <v>#N/A</v>
      </c>
      <c r="M1081" s="14" t="e">
        <v>#N/A</v>
      </c>
    </row>
    <row r="1082" spans="5:13">
      <c r="E1082" s="13" t="e">
        <v>#N/A</v>
      </c>
      <c r="F1082" s="13" t="e">
        <v>#N/A</v>
      </c>
      <c r="G1082" s="14" t="e">
        <v>#N/A</v>
      </c>
      <c r="H1082" s="14" t="e">
        <v>#N/A</v>
      </c>
      <c r="J1082" s="13" t="e">
        <v>#N/A</v>
      </c>
      <c r="K1082" s="13" t="e">
        <v>#N/A</v>
      </c>
      <c r="L1082" s="14" t="e">
        <v>#N/A</v>
      </c>
      <c r="M1082" s="14" t="e">
        <v>#N/A</v>
      </c>
    </row>
    <row r="1083" spans="5:13">
      <c r="E1083" s="13" t="e">
        <v>#N/A</v>
      </c>
      <c r="F1083" s="13" t="e">
        <v>#N/A</v>
      </c>
      <c r="G1083" s="14" t="e">
        <v>#N/A</v>
      </c>
      <c r="H1083" s="14" t="e">
        <v>#N/A</v>
      </c>
      <c r="J1083" s="13" t="e">
        <v>#N/A</v>
      </c>
      <c r="K1083" s="13" t="e">
        <v>#N/A</v>
      </c>
      <c r="L1083" s="14" t="e">
        <v>#N/A</v>
      </c>
      <c r="M1083" s="14" t="e">
        <v>#N/A</v>
      </c>
    </row>
    <row r="1084" spans="5:13">
      <c r="E1084" s="13" t="e">
        <v>#N/A</v>
      </c>
      <c r="F1084" s="13" t="e">
        <v>#N/A</v>
      </c>
      <c r="G1084" s="14" t="e">
        <v>#N/A</v>
      </c>
      <c r="H1084" s="14" t="e">
        <v>#N/A</v>
      </c>
      <c r="J1084" s="13" t="e">
        <v>#N/A</v>
      </c>
      <c r="K1084" s="13" t="e">
        <v>#N/A</v>
      </c>
      <c r="L1084" s="14" t="e">
        <v>#N/A</v>
      </c>
      <c r="M1084" s="14" t="e">
        <v>#N/A</v>
      </c>
    </row>
    <row r="1085" spans="5:13">
      <c r="E1085" s="13" t="e">
        <v>#N/A</v>
      </c>
      <c r="F1085" s="13" t="e">
        <v>#N/A</v>
      </c>
      <c r="G1085" s="14" t="e">
        <v>#N/A</v>
      </c>
      <c r="H1085" s="14" t="e">
        <v>#N/A</v>
      </c>
      <c r="J1085" s="13" t="e">
        <v>#N/A</v>
      </c>
      <c r="K1085" s="13" t="e">
        <v>#N/A</v>
      </c>
      <c r="L1085" s="14" t="e">
        <v>#N/A</v>
      </c>
      <c r="M1085" s="14" t="e">
        <v>#N/A</v>
      </c>
    </row>
    <row r="1086" spans="5:13">
      <c r="E1086" s="13" t="e">
        <v>#N/A</v>
      </c>
      <c r="F1086" s="13" t="e">
        <v>#N/A</v>
      </c>
      <c r="G1086" s="14" t="e">
        <v>#N/A</v>
      </c>
      <c r="H1086" s="14" t="e">
        <v>#N/A</v>
      </c>
      <c r="J1086" s="13" t="e">
        <v>#N/A</v>
      </c>
      <c r="K1086" s="13" t="e">
        <v>#N/A</v>
      </c>
      <c r="L1086" s="14" t="e">
        <v>#N/A</v>
      </c>
      <c r="M1086" s="14" t="e">
        <v>#N/A</v>
      </c>
    </row>
    <row r="1087" spans="5:13">
      <c r="E1087" s="13" t="e">
        <v>#N/A</v>
      </c>
      <c r="F1087" s="13" t="e">
        <v>#N/A</v>
      </c>
      <c r="G1087" s="14" t="e">
        <v>#N/A</v>
      </c>
      <c r="H1087" s="14" t="e">
        <v>#N/A</v>
      </c>
      <c r="J1087" s="13" t="e">
        <v>#N/A</v>
      </c>
      <c r="K1087" s="13" t="e">
        <v>#N/A</v>
      </c>
      <c r="L1087" s="14" t="e">
        <v>#N/A</v>
      </c>
      <c r="M1087" s="14" t="e">
        <v>#N/A</v>
      </c>
    </row>
    <row r="1088" spans="5:13">
      <c r="E1088" s="13" t="e">
        <v>#N/A</v>
      </c>
      <c r="F1088" s="13" t="e">
        <v>#N/A</v>
      </c>
      <c r="G1088" s="14" t="e">
        <v>#N/A</v>
      </c>
      <c r="H1088" s="14" t="e">
        <v>#N/A</v>
      </c>
      <c r="J1088" s="13" t="e">
        <v>#N/A</v>
      </c>
      <c r="K1088" s="13" t="e">
        <v>#N/A</v>
      </c>
      <c r="L1088" s="14" t="e">
        <v>#N/A</v>
      </c>
      <c r="M1088" s="14" t="e">
        <v>#N/A</v>
      </c>
    </row>
    <row r="1089" spans="5:13">
      <c r="E1089" s="13" t="e">
        <v>#N/A</v>
      </c>
      <c r="F1089" s="13" t="e">
        <v>#N/A</v>
      </c>
      <c r="G1089" s="14" t="e">
        <v>#N/A</v>
      </c>
      <c r="H1089" s="14" t="e">
        <v>#N/A</v>
      </c>
      <c r="J1089" s="13" t="e">
        <v>#N/A</v>
      </c>
      <c r="K1089" s="13" t="e">
        <v>#N/A</v>
      </c>
      <c r="L1089" s="14" t="e">
        <v>#N/A</v>
      </c>
      <c r="M1089" s="14" t="e">
        <v>#N/A</v>
      </c>
    </row>
    <row r="1090" spans="5:13">
      <c r="E1090" s="13" t="e">
        <v>#N/A</v>
      </c>
      <c r="F1090" s="13" t="e">
        <v>#N/A</v>
      </c>
      <c r="G1090" s="14" t="e">
        <v>#N/A</v>
      </c>
      <c r="H1090" s="14" t="e">
        <v>#N/A</v>
      </c>
      <c r="J1090" s="13" t="e">
        <v>#N/A</v>
      </c>
      <c r="K1090" s="13" t="e">
        <v>#N/A</v>
      </c>
      <c r="L1090" s="14" t="e">
        <v>#N/A</v>
      </c>
      <c r="M1090" s="14" t="e">
        <v>#N/A</v>
      </c>
    </row>
    <row r="1091" spans="5:13">
      <c r="E1091" s="13" t="e">
        <v>#N/A</v>
      </c>
      <c r="F1091" s="13" t="e">
        <v>#N/A</v>
      </c>
      <c r="G1091" s="14" t="e">
        <v>#N/A</v>
      </c>
      <c r="H1091" s="14" t="e">
        <v>#N/A</v>
      </c>
      <c r="J1091" s="13" t="e">
        <v>#N/A</v>
      </c>
      <c r="K1091" s="13" t="e">
        <v>#N/A</v>
      </c>
      <c r="L1091" s="14" t="e">
        <v>#N/A</v>
      </c>
      <c r="M1091" s="14" t="e">
        <v>#N/A</v>
      </c>
    </row>
    <row r="1092" spans="5:13">
      <c r="E1092" s="13" t="e">
        <v>#N/A</v>
      </c>
      <c r="F1092" s="13" t="e">
        <v>#N/A</v>
      </c>
      <c r="G1092" s="14" t="e">
        <v>#N/A</v>
      </c>
      <c r="H1092" s="14" t="e">
        <v>#N/A</v>
      </c>
      <c r="J1092" s="13" t="e">
        <v>#N/A</v>
      </c>
      <c r="K1092" s="13" t="e">
        <v>#N/A</v>
      </c>
      <c r="L1092" s="14" t="e">
        <v>#N/A</v>
      </c>
      <c r="M1092" s="14" t="e">
        <v>#N/A</v>
      </c>
    </row>
    <row r="1093" spans="5:13">
      <c r="E1093" s="13" t="e">
        <v>#N/A</v>
      </c>
      <c r="F1093" s="13" t="e">
        <v>#N/A</v>
      </c>
      <c r="G1093" s="14" t="e">
        <v>#N/A</v>
      </c>
      <c r="H1093" s="14" t="e">
        <v>#N/A</v>
      </c>
      <c r="J1093" s="13" t="e">
        <v>#N/A</v>
      </c>
      <c r="K1093" s="13" t="e">
        <v>#N/A</v>
      </c>
      <c r="L1093" s="14" t="e">
        <v>#N/A</v>
      </c>
      <c r="M1093" s="14" t="e">
        <v>#N/A</v>
      </c>
    </row>
    <row r="1094" spans="5:13">
      <c r="E1094" s="13" t="e">
        <v>#N/A</v>
      </c>
      <c r="F1094" s="13" t="e">
        <v>#N/A</v>
      </c>
      <c r="G1094" s="14" t="e">
        <v>#N/A</v>
      </c>
      <c r="H1094" s="14" t="e">
        <v>#N/A</v>
      </c>
      <c r="J1094" s="13" t="e">
        <v>#N/A</v>
      </c>
      <c r="K1094" s="13" t="e">
        <v>#N/A</v>
      </c>
      <c r="L1094" s="14" t="e">
        <v>#N/A</v>
      </c>
      <c r="M1094" s="14" t="e">
        <v>#N/A</v>
      </c>
    </row>
    <row r="1095" spans="5:13">
      <c r="E1095" s="13" t="e">
        <v>#N/A</v>
      </c>
      <c r="F1095" s="13" t="e">
        <v>#N/A</v>
      </c>
      <c r="G1095" s="14" t="e">
        <v>#N/A</v>
      </c>
      <c r="H1095" s="14" t="e">
        <v>#N/A</v>
      </c>
      <c r="J1095" s="13" t="e">
        <v>#N/A</v>
      </c>
      <c r="K1095" s="13" t="e">
        <v>#N/A</v>
      </c>
      <c r="L1095" s="14" t="e">
        <v>#N/A</v>
      </c>
      <c r="M1095" s="14" t="e">
        <v>#N/A</v>
      </c>
    </row>
    <row r="1096" spans="5:13">
      <c r="E1096" s="13" t="e">
        <v>#N/A</v>
      </c>
      <c r="F1096" s="13" t="e">
        <v>#N/A</v>
      </c>
      <c r="G1096" s="14" t="e">
        <v>#N/A</v>
      </c>
      <c r="H1096" s="14" t="e">
        <v>#N/A</v>
      </c>
      <c r="J1096" s="13" t="e">
        <v>#N/A</v>
      </c>
      <c r="K1096" s="13" t="e">
        <v>#N/A</v>
      </c>
      <c r="L1096" s="14" t="e">
        <v>#N/A</v>
      </c>
      <c r="M1096" s="14" t="e">
        <v>#N/A</v>
      </c>
    </row>
    <row r="1097" spans="5:13">
      <c r="E1097" s="13" t="e">
        <v>#N/A</v>
      </c>
      <c r="F1097" s="13" t="e">
        <v>#N/A</v>
      </c>
      <c r="G1097" s="14" t="e">
        <v>#N/A</v>
      </c>
      <c r="H1097" s="14" t="e">
        <v>#N/A</v>
      </c>
      <c r="J1097" s="13" t="e">
        <v>#N/A</v>
      </c>
      <c r="K1097" s="13" t="e">
        <v>#N/A</v>
      </c>
      <c r="L1097" s="14" t="e">
        <v>#N/A</v>
      </c>
      <c r="M1097" s="14" t="e">
        <v>#N/A</v>
      </c>
    </row>
    <row r="1098" spans="5:13">
      <c r="E1098" s="13" t="e">
        <v>#N/A</v>
      </c>
      <c r="F1098" s="13" t="e">
        <v>#N/A</v>
      </c>
      <c r="G1098" s="14" t="e">
        <v>#N/A</v>
      </c>
      <c r="H1098" s="14" t="e">
        <v>#N/A</v>
      </c>
      <c r="J1098" s="13" t="e">
        <v>#N/A</v>
      </c>
      <c r="K1098" s="13" t="e">
        <v>#N/A</v>
      </c>
      <c r="L1098" s="14" t="e">
        <v>#N/A</v>
      </c>
      <c r="M1098" s="14" t="e">
        <v>#N/A</v>
      </c>
    </row>
    <row r="1099" spans="5:13">
      <c r="E1099" s="13" t="e">
        <v>#N/A</v>
      </c>
      <c r="F1099" s="13" t="e">
        <v>#N/A</v>
      </c>
      <c r="G1099" s="14" t="e">
        <v>#N/A</v>
      </c>
      <c r="H1099" s="14" t="e">
        <v>#N/A</v>
      </c>
      <c r="J1099" s="13" t="e">
        <v>#N/A</v>
      </c>
      <c r="K1099" s="13" t="e">
        <v>#N/A</v>
      </c>
      <c r="L1099" s="14" t="e">
        <v>#N/A</v>
      </c>
      <c r="M1099" s="14" t="e">
        <v>#N/A</v>
      </c>
    </row>
    <row r="1100" spans="5:13">
      <c r="E1100" s="13" t="e">
        <v>#N/A</v>
      </c>
      <c r="F1100" s="13" t="e">
        <v>#N/A</v>
      </c>
      <c r="G1100" s="14" t="e">
        <v>#N/A</v>
      </c>
      <c r="H1100" s="14" t="e">
        <v>#N/A</v>
      </c>
      <c r="J1100" s="13" t="e">
        <v>#N/A</v>
      </c>
      <c r="K1100" s="13" t="e">
        <v>#N/A</v>
      </c>
      <c r="L1100" s="14" t="e">
        <v>#N/A</v>
      </c>
      <c r="M1100" s="14" t="e">
        <v>#N/A</v>
      </c>
    </row>
    <row r="1101" spans="5:13">
      <c r="E1101" s="13" t="e">
        <v>#N/A</v>
      </c>
      <c r="F1101" s="13" t="e">
        <v>#N/A</v>
      </c>
      <c r="G1101" s="14" t="e">
        <v>#N/A</v>
      </c>
      <c r="H1101" s="14" t="e">
        <v>#N/A</v>
      </c>
      <c r="J1101" s="13" t="e">
        <v>#N/A</v>
      </c>
      <c r="K1101" s="13" t="e">
        <v>#N/A</v>
      </c>
      <c r="L1101" s="14" t="e">
        <v>#N/A</v>
      </c>
      <c r="M1101" s="14" t="e">
        <v>#N/A</v>
      </c>
    </row>
    <row r="1102" spans="5:13">
      <c r="E1102" s="13" t="e">
        <v>#N/A</v>
      </c>
      <c r="F1102" s="13" t="e">
        <v>#N/A</v>
      </c>
      <c r="G1102" s="14" t="e">
        <v>#N/A</v>
      </c>
      <c r="H1102" s="14" t="e">
        <v>#N/A</v>
      </c>
      <c r="J1102" s="13" t="e">
        <v>#N/A</v>
      </c>
      <c r="K1102" s="13" t="e">
        <v>#N/A</v>
      </c>
      <c r="L1102" s="14" t="e">
        <v>#N/A</v>
      </c>
      <c r="M1102" s="14" t="e">
        <v>#N/A</v>
      </c>
    </row>
    <row r="1103" spans="5:13">
      <c r="E1103" s="13" t="e">
        <v>#N/A</v>
      </c>
      <c r="F1103" s="13" t="e">
        <v>#N/A</v>
      </c>
      <c r="G1103" s="14" t="e">
        <v>#N/A</v>
      </c>
      <c r="H1103" s="14" t="e">
        <v>#N/A</v>
      </c>
      <c r="J1103" s="13" t="e">
        <v>#N/A</v>
      </c>
      <c r="K1103" s="13" t="e">
        <v>#N/A</v>
      </c>
      <c r="L1103" s="14" t="e">
        <v>#N/A</v>
      </c>
      <c r="M1103" s="14" t="e">
        <v>#N/A</v>
      </c>
    </row>
    <row r="1104" spans="5:13">
      <c r="E1104" s="13" t="e">
        <v>#N/A</v>
      </c>
      <c r="F1104" s="13" t="e">
        <v>#N/A</v>
      </c>
      <c r="G1104" s="14" t="e">
        <v>#N/A</v>
      </c>
      <c r="H1104" s="14" t="e">
        <v>#N/A</v>
      </c>
      <c r="J1104" s="13" t="e">
        <v>#N/A</v>
      </c>
      <c r="K1104" s="13" t="e">
        <v>#N/A</v>
      </c>
      <c r="L1104" s="14" t="e">
        <v>#N/A</v>
      </c>
      <c r="M1104" s="14" t="e">
        <v>#N/A</v>
      </c>
    </row>
    <row r="1105" spans="5:13">
      <c r="E1105" s="13" t="e">
        <v>#N/A</v>
      </c>
      <c r="F1105" s="13" t="e">
        <v>#N/A</v>
      </c>
      <c r="G1105" s="14" t="e">
        <v>#N/A</v>
      </c>
      <c r="H1105" s="14" t="e">
        <v>#N/A</v>
      </c>
      <c r="J1105" s="13" t="e">
        <v>#N/A</v>
      </c>
      <c r="K1105" s="13" t="e">
        <v>#N/A</v>
      </c>
      <c r="L1105" s="14" t="e">
        <v>#N/A</v>
      </c>
      <c r="M1105" s="14" t="e">
        <v>#N/A</v>
      </c>
    </row>
    <row r="1106" spans="5:13">
      <c r="E1106" s="13" t="e">
        <v>#N/A</v>
      </c>
      <c r="F1106" s="13" t="e">
        <v>#N/A</v>
      </c>
      <c r="G1106" s="14" t="e">
        <v>#N/A</v>
      </c>
      <c r="H1106" s="14" t="e">
        <v>#N/A</v>
      </c>
      <c r="J1106" s="13" t="e">
        <v>#N/A</v>
      </c>
      <c r="K1106" s="13" t="e">
        <v>#N/A</v>
      </c>
      <c r="L1106" s="14" t="e">
        <v>#N/A</v>
      </c>
      <c r="M1106" s="14" t="e">
        <v>#N/A</v>
      </c>
    </row>
    <row r="1107" spans="5:13">
      <c r="E1107" s="13" t="e">
        <v>#N/A</v>
      </c>
      <c r="F1107" s="13" t="e">
        <v>#N/A</v>
      </c>
      <c r="G1107" s="14" t="e">
        <v>#N/A</v>
      </c>
      <c r="H1107" s="14" t="e">
        <v>#N/A</v>
      </c>
      <c r="J1107" s="13" t="e">
        <v>#N/A</v>
      </c>
      <c r="K1107" s="13" t="e">
        <v>#N/A</v>
      </c>
      <c r="L1107" s="14" t="e">
        <v>#N/A</v>
      </c>
      <c r="M1107" s="14" t="e">
        <v>#N/A</v>
      </c>
    </row>
    <row r="1108" spans="5:13">
      <c r="E1108" s="13" t="e">
        <v>#N/A</v>
      </c>
      <c r="F1108" s="13" t="e">
        <v>#N/A</v>
      </c>
      <c r="G1108" s="14" t="e">
        <v>#N/A</v>
      </c>
      <c r="H1108" s="14" t="e">
        <v>#N/A</v>
      </c>
      <c r="J1108" s="13" t="e">
        <v>#N/A</v>
      </c>
      <c r="K1108" s="13" t="e">
        <v>#N/A</v>
      </c>
      <c r="L1108" s="14" t="e">
        <v>#N/A</v>
      </c>
      <c r="M1108" s="14" t="e">
        <v>#N/A</v>
      </c>
    </row>
    <row r="1109" spans="5:13">
      <c r="E1109" s="13" t="e">
        <v>#N/A</v>
      </c>
      <c r="F1109" s="13" t="e">
        <v>#N/A</v>
      </c>
      <c r="G1109" s="14" t="e">
        <v>#N/A</v>
      </c>
      <c r="H1109" s="14" t="e">
        <v>#N/A</v>
      </c>
      <c r="J1109" s="13" t="e">
        <v>#N/A</v>
      </c>
      <c r="K1109" s="13" t="e">
        <v>#N/A</v>
      </c>
      <c r="L1109" s="14" t="e">
        <v>#N/A</v>
      </c>
      <c r="M1109" s="14" t="e">
        <v>#N/A</v>
      </c>
    </row>
    <row r="1110" spans="5:13">
      <c r="E1110" s="13" t="e">
        <v>#N/A</v>
      </c>
      <c r="F1110" s="13" t="e">
        <v>#N/A</v>
      </c>
      <c r="G1110" s="14" t="e">
        <v>#N/A</v>
      </c>
      <c r="H1110" s="14" t="e">
        <v>#N/A</v>
      </c>
      <c r="J1110" s="13" t="e">
        <v>#N/A</v>
      </c>
      <c r="K1110" s="13" t="e">
        <v>#N/A</v>
      </c>
      <c r="L1110" s="14" t="e">
        <v>#N/A</v>
      </c>
      <c r="M1110" s="14" t="e">
        <v>#N/A</v>
      </c>
    </row>
    <row r="1111" spans="5:13">
      <c r="E1111" s="13" t="e">
        <v>#N/A</v>
      </c>
      <c r="F1111" s="13" t="e">
        <v>#N/A</v>
      </c>
      <c r="G1111" s="14" t="e">
        <v>#N/A</v>
      </c>
      <c r="H1111" s="14" t="e">
        <v>#N/A</v>
      </c>
      <c r="J1111" s="13" t="e">
        <v>#N/A</v>
      </c>
      <c r="K1111" s="13" t="e">
        <v>#N/A</v>
      </c>
      <c r="L1111" s="14" t="e">
        <v>#N/A</v>
      </c>
      <c r="M1111" s="14" t="e">
        <v>#N/A</v>
      </c>
    </row>
    <row r="1112" spans="5:13">
      <c r="E1112" s="13" t="e">
        <v>#N/A</v>
      </c>
      <c r="F1112" s="13" t="e">
        <v>#N/A</v>
      </c>
      <c r="G1112" s="14" t="e">
        <v>#N/A</v>
      </c>
      <c r="H1112" s="14" t="e">
        <v>#N/A</v>
      </c>
      <c r="J1112" s="13" t="e">
        <v>#N/A</v>
      </c>
      <c r="K1112" s="13" t="e">
        <v>#N/A</v>
      </c>
      <c r="L1112" s="14" t="e">
        <v>#N/A</v>
      </c>
      <c r="M1112" s="14" t="e">
        <v>#N/A</v>
      </c>
    </row>
    <row r="1113" spans="5:13">
      <c r="E1113" s="13" t="e">
        <v>#N/A</v>
      </c>
      <c r="F1113" s="13" t="e">
        <v>#N/A</v>
      </c>
      <c r="G1113" s="14" t="e">
        <v>#N/A</v>
      </c>
      <c r="H1113" s="14" t="e">
        <v>#N/A</v>
      </c>
      <c r="J1113" s="13" t="e">
        <v>#N/A</v>
      </c>
      <c r="K1113" s="13" t="e">
        <v>#N/A</v>
      </c>
      <c r="L1113" s="14" t="e">
        <v>#N/A</v>
      </c>
      <c r="M1113" s="14" t="e">
        <v>#N/A</v>
      </c>
    </row>
    <row r="1114" spans="5:13">
      <c r="E1114" s="13" t="e">
        <v>#N/A</v>
      </c>
      <c r="F1114" s="13" t="e">
        <v>#N/A</v>
      </c>
      <c r="G1114" s="14" t="e">
        <v>#N/A</v>
      </c>
      <c r="H1114" s="14" t="e">
        <v>#N/A</v>
      </c>
      <c r="J1114" s="13" t="e">
        <v>#N/A</v>
      </c>
      <c r="K1114" s="13" t="e">
        <v>#N/A</v>
      </c>
      <c r="L1114" s="14" t="e">
        <v>#N/A</v>
      </c>
      <c r="M1114" s="14" t="e">
        <v>#N/A</v>
      </c>
    </row>
    <row r="1115" spans="5:13">
      <c r="E1115" s="13" t="e">
        <v>#N/A</v>
      </c>
      <c r="F1115" s="13" t="e">
        <v>#N/A</v>
      </c>
      <c r="G1115" s="14" t="e">
        <v>#N/A</v>
      </c>
      <c r="H1115" s="14" t="e">
        <v>#N/A</v>
      </c>
      <c r="J1115" s="13" t="e">
        <v>#N/A</v>
      </c>
      <c r="K1115" s="13" t="e">
        <v>#N/A</v>
      </c>
      <c r="L1115" s="14" t="e">
        <v>#N/A</v>
      </c>
      <c r="M1115" s="14" t="e">
        <v>#N/A</v>
      </c>
    </row>
    <row r="1116" spans="5:13">
      <c r="E1116" s="13" t="e">
        <v>#N/A</v>
      </c>
      <c r="F1116" s="13" t="e">
        <v>#N/A</v>
      </c>
      <c r="G1116" s="14" t="e">
        <v>#N/A</v>
      </c>
      <c r="H1116" s="14" t="e">
        <v>#N/A</v>
      </c>
      <c r="J1116" s="13" t="e">
        <v>#N/A</v>
      </c>
      <c r="K1116" s="13" t="e">
        <v>#N/A</v>
      </c>
      <c r="L1116" s="14" t="e">
        <v>#N/A</v>
      </c>
      <c r="M1116" s="14" t="e">
        <v>#N/A</v>
      </c>
    </row>
    <row r="1117" spans="5:13">
      <c r="E1117" s="13" t="e">
        <v>#N/A</v>
      </c>
      <c r="F1117" s="13" t="e">
        <v>#N/A</v>
      </c>
      <c r="G1117" s="14" t="e">
        <v>#N/A</v>
      </c>
      <c r="H1117" s="14" t="e">
        <v>#N/A</v>
      </c>
      <c r="J1117" s="13" t="e">
        <v>#N/A</v>
      </c>
      <c r="K1117" s="13" t="e">
        <v>#N/A</v>
      </c>
      <c r="L1117" s="14" t="e">
        <v>#N/A</v>
      </c>
      <c r="M1117" s="14" t="e">
        <v>#N/A</v>
      </c>
    </row>
    <row r="1118" spans="5:13">
      <c r="E1118" s="13" t="e">
        <v>#N/A</v>
      </c>
      <c r="F1118" s="13" t="e">
        <v>#N/A</v>
      </c>
      <c r="G1118" s="14" t="e">
        <v>#N/A</v>
      </c>
      <c r="H1118" s="14" t="e">
        <v>#N/A</v>
      </c>
      <c r="J1118" s="13" t="e">
        <v>#N/A</v>
      </c>
      <c r="K1118" s="13" t="e">
        <v>#N/A</v>
      </c>
      <c r="L1118" s="14" t="e">
        <v>#N/A</v>
      </c>
      <c r="M1118" s="14" t="e">
        <v>#N/A</v>
      </c>
    </row>
    <row r="1119" spans="5:13">
      <c r="E1119" s="13" t="e">
        <v>#N/A</v>
      </c>
      <c r="F1119" s="13" t="e">
        <v>#N/A</v>
      </c>
      <c r="G1119" s="14" t="e">
        <v>#N/A</v>
      </c>
      <c r="H1119" s="14" t="e">
        <v>#N/A</v>
      </c>
      <c r="J1119" s="13" t="e">
        <v>#N/A</v>
      </c>
      <c r="K1119" s="13" t="e">
        <v>#N/A</v>
      </c>
      <c r="L1119" s="14" t="e">
        <v>#N/A</v>
      </c>
      <c r="M1119" s="14" t="e">
        <v>#N/A</v>
      </c>
    </row>
    <row r="1120" spans="5:13">
      <c r="E1120" s="13" t="e">
        <v>#N/A</v>
      </c>
      <c r="F1120" s="13" t="e">
        <v>#N/A</v>
      </c>
      <c r="G1120" s="14" t="e">
        <v>#N/A</v>
      </c>
      <c r="H1120" s="14" t="e">
        <v>#N/A</v>
      </c>
      <c r="J1120" s="13" t="e">
        <v>#N/A</v>
      </c>
      <c r="K1120" s="13" t="e">
        <v>#N/A</v>
      </c>
      <c r="L1120" s="14" t="e">
        <v>#N/A</v>
      </c>
      <c r="M1120" s="14" t="e">
        <v>#N/A</v>
      </c>
    </row>
    <row r="1121" spans="5:13">
      <c r="E1121" s="13" t="e">
        <v>#N/A</v>
      </c>
      <c r="F1121" s="13" t="e">
        <v>#N/A</v>
      </c>
      <c r="G1121" s="14" t="e">
        <v>#N/A</v>
      </c>
      <c r="H1121" s="14" t="e">
        <v>#N/A</v>
      </c>
      <c r="J1121" s="13" t="e">
        <v>#N/A</v>
      </c>
      <c r="K1121" s="13" t="e">
        <v>#N/A</v>
      </c>
      <c r="L1121" s="14" t="e">
        <v>#N/A</v>
      </c>
      <c r="M1121" s="14" t="e">
        <v>#N/A</v>
      </c>
    </row>
    <row r="1122" spans="5:13">
      <c r="E1122" s="13" t="e">
        <v>#N/A</v>
      </c>
      <c r="F1122" s="13" t="e">
        <v>#N/A</v>
      </c>
      <c r="G1122" s="14" t="e">
        <v>#N/A</v>
      </c>
      <c r="H1122" s="14" t="e">
        <v>#N/A</v>
      </c>
      <c r="J1122" s="13" t="e">
        <v>#N/A</v>
      </c>
      <c r="K1122" s="13" t="e">
        <v>#N/A</v>
      </c>
      <c r="L1122" s="14" t="e">
        <v>#N/A</v>
      </c>
      <c r="M1122" s="14" t="e">
        <v>#N/A</v>
      </c>
    </row>
    <row r="1123" spans="5:13">
      <c r="E1123" s="13" t="e">
        <v>#N/A</v>
      </c>
      <c r="F1123" s="13" t="e">
        <v>#N/A</v>
      </c>
      <c r="G1123" s="14" t="e">
        <v>#N/A</v>
      </c>
      <c r="H1123" s="14" t="e">
        <v>#N/A</v>
      </c>
      <c r="J1123" s="13" t="e">
        <v>#N/A</v>
      </c>
      <c r="K1123" s="13" t="e">
        <v>#N/A</v>
      </c>
      <c r="L1123" s="14" t="e">
        <v>#N/A</v>
      </c>
      <c r="M1123" s="14" t="e">
        <v>#N/A</v>
      </c>
    </row>
    <row r="1124" spans="5:13">
      <c r="E1124" s="13" t="e">
        <v>#N/A</v>
      </c>
      <c r="F1124" s="13" t="e">
        <v>#N/A</v>
      </c>
      <c r="G1124" s="14" t="e">
        <v>#N/A</v>
      </c>
      <c r="H1124" s="14" t="e">
        <v>#N/A</v>
      </c>
      <c r="J1124" s="13" t="e">
        <v>#N/A</v>
      </c>
      <c r="K1124" s="13" t="e">
        <v>#N/A</v>
      </c>
      <c r="L1124" s="14" t="e">
        <v>#N/A</v>
      </c>
      <c r="M1124" s="14" t="e">
        <v>#N/A</v>
      </c>
    </row>
    <row r="1125" spans="5:13">
      <c r="E1125" s="13" t="e">
        <v>#N/A</v>
      </c>
      <c r="F1125" s="13" t="e">
        <v>#N/A</v>
      </c>
      <c r="G1125" s="14" t="e">
        <v>#N/A</v>
      </c>
      <c r="H1125" s="14" t="e">
        <v>#N/A</v>
      </c>
      <c r="J1125" s="13" t="e">
        <v>#N/A</v>
      </c>
      <c r="K1125" s="13" t="e">
        <v>#N/A</v>
      </c>
      <c r="L1125" s="14" t="e">
        <v>#N/A</v>
      </c>
      <c r="M1125" s="14" t="e">
        <v>#N/A</v>
      </c>
    </row>
    <row r="1126" spans="5:13">
      <c r="E1126" s="13" t="e">
        <v>#N/A</v>
      </c>
      <c r="F1126" s="13" t="e">
        <v>#N/A</v>
      </c>
      <c r="G1126" s="14" t="e">
        <v>#N/A</v>
      </c>
      <c r="H1126" s="14" t="e">
        <v>#N/A</v>
      </c>
      <c r="J1126" s="13" t="e">
        <v>#N/A</v>
      </c>
      <c r="K1126" s="13" t="e">
        <v>#N/A</v>
      </c>
      <c r="L1126" s="14" t="e">
        <v>#N/A</v>
      </c>
      <c r="M1126" s="14" t="e">
        <v>#N/A</v>
      </c>
    </row>
    <row r="1127" spans="5:13">
      <c r="E1127" s="13" t="e">
        <v>#N/A</v>
      </c>
      <c r="F1127" s="13" t="e">
        <v>#N/A</v>
      </c>
      <c r="G1127" s="14" t="e">
        <v>#N/A</v>
      </c>
      <c r="H1127" s="14" t="e">
        <v>#N/A</v>
      </c>
      <c r="J1127" s="13" t="e">
        <v>#N/A</v>
      </c>
      <c r="K1127" s="13" t="e">
        <v>#N/A</v>
      </c>
      <c r="L1127" s="14" t="e">
        <v>#N/A</v>
      </c>
      <c r="M1127" s="14" t="e">
        <v>#N/A</v>
      </c>
    </row>
    <row r="1128" spans="5:13">
      <c r="E1128" s="13" t="e">
        <v>#N/A</v>
      </c>
      <c r="F1128" s="13" t="e">
        <v>#N/A</v>
      </c>
      <c r="G1128" s="14" t="e">
        <v>#N/A</v>
      </c>
      <c r="H1128" s="14" t="e">
        <v>#N/A</v>
      </c>
      <c r="J1128" s="13" t="e">
        <v>#N/A</v>
      </c>
      <c r="K1128" s="13" t="e">
        <v>#N/A</v>
      </c>
      <c r="L1128" s="14" t="e">
        <v>#N/A</v>
      </c>
      <c r="M1128" s="14" t="e">
        <v>#N/A</v>
      </c>
    </row>
    <row r="1129" spans="5:13">
      <c r="E1129" s="13" t="e">
        <v>#N/A</v>
      </c>
      <c r="F1129" s="13" t="e">
        <v>#N/A</v>
      </c>
      <c r="G1129" s="14" t="e">
        <v>#N/A</v>
      </c>
      <c r="H1129" s="14" t="e">
        <v>#N/A</v>
      </c>
      <c r="J1129" s="13" t="e">
        <v>#N/A</v>
      </c>
      <c r="K1129" s="13" t="e">
        <v>#N/A</v>
      </c>
      <c r="L1129" s="14" t="e">
        <v>#N/A</v>
      </c>
      <c r="M1129" s="14" t="e">
        <v>#N/A</v>
      </c>
    </row>
    <row r="1130" spans="5:13">
      <c r="E1130" s="13" t="e">
        <v>#N/A</v>
      </c>
      <c r="F1130" s="13" t="e">
        <v>#N/A</v>
      </c>
      <c r="G1130" s="14" t="e">
        <v>#N/A</v>
      </c>
      <c r="H1130" s="14" t="e">
        <v>#N/A</v>
      </c>
      <c r="J1130" s="13" t="e">
        <v>#N/A</v>
      </c>
      <c r="K1130" s="13" t="e">
        <v>#N/A</v>
      </c>
      <c r="L1130" s="14" t="e">
        <v>#N/A</v>
      </c>
      <c r="M1130" s="14" t="e">
        <v>#N/A</v>
      </c>
    </row>
    <row r="1131" spans="5:13">
      <c r="E1131" s="13" t="e">
        <v>#N/A</v>
      </c>
      <c r="F1131" s="13" t="e">
        <v>#N/A</v>
      </c>
      <c r="G1131" s="14" t="e">
        <v>#N/A</v>
      </c>
      <c r="H1131" s="14" t="e">
        <v>#N/A</v>
      </c>
      <c r="J1131" s="13" t="e">
        <v>#N/A</v>
      </c>
      <c r="K1131" s="13" t="e">
        <v>#N/A</v>
      </c>
      <c r="L1131" s="14" t="e">
        <v>#N/A</v>
      </c>
      <c r="M1131" s="14" t="e">
        <v>#N/A</v>
      </c>
    </row>
    <row r="1132" spans="5:13">
      <c r="E1132" s="13" t="e">
        <v>#N/A</v>
      </c>
      <c r="F1132" s="13" t="e">
        <v>#N/A</v>
      </c>
      <c r="G1132" s="14" t="e">
        <v>#N/A</v>
      </c>
      <c r="H1132" s="14" t="e">
        <v>#N/A</v>
      </c>
      <c r="J1132" s="13" t="e">
        <v>#N/A</v>
      </c>
      <c r="K1132" s="13" t="e">
        <v>#N/A</v>
      </c>
      <c r="L1132" s="14" t="e">
        <v>#N/A</v>
      </c>
      <c r="M1132" s="14" t="e">
        <v>#N/A</v>
      </c>
    </row>
    <row r="1133" spans="5:13">
      <c r="E1133" s="13" t="e">
        <v>#N/A</v>
      </c>
      <c r="F1133" s="13" t="e">
        <v>#N/A</v>
      </c>
      <c r="G1133" s="14" t="e">
        <v>#N/A</v>
      </c>
      <c r="H1133" s="14" t="e">
        <v>#N/A</v>
      </c>
      <c r="J1133" s="13" t="e">
        <v>#N/A</v>
      </c>
      <c r="K1133" s="13" t="e">
        <v>#N/A</v>
      </c>
      <c r="L1133" s="14" t="e">
        <v>#N/A</v>
      </c>
      <c r="M1133" s="14" t="e">
        <v>#N/A</v>
      </c>
    </row>
    <row r="1134" spans="5:13">
      <c r="E1134" s="13" t="e">
        <v>#N/A</v>
      </c>
      <c r="F1134" s="13" t="e">
        <v>#N/A</v>
      </c>
      <c r="G1134" s="14" t="e">
        <v>#N/A</v>
      </c>
      <c r="H1134" s="14" t="e">
        <v>#N/A</v>
      </c>
      <c r="J1134" s="13" t="e">
        <v>#N/A</v>
      </c>
      <c r="K1134" s="13" t="e">
        <v>#N/A</v>
      </c>
      <c r="L1134" s="14" t="e">
        <v>#N/A</v>
      </c>
      <c r="M1134" s="14" t="e">
        <v>#N/A</v>
      </c>
    </row>
    <row r="1135" spans="5:13">
      <c r="E1135" s="13" t="e">
        <v>#N/A</v>
      </c>
      <c r="F1135" s="13" t="e">
        <v>#N/A</v>
      </c>
      <c r="G1135" s="14" t="e">
        <v>#N/A</v>
      </c>
      <c r="H1135" s="14" t="e">
        <v>#N/A</v>
      </c>
      <c r="J1135" s="13" t="e">
        <v>#N/A</v>
      </c>
      <c r="K1135" s="13" t="e">
        <v>#N/A</v>
      </c>
      <c r="L1135" s="14" t="e">
        <v>#N/A</v>
      </c>
      <c r="M1135" s="14" t="e">
        <v>#N/A</v>
      </c>
    </row>
    <row r="1136" spans="5:13">
      <c r="E1136" s="13" t="e">
        <v>#N/A</v>
      </c>
      <c r="F1136" s="13" t="e">
        <v>#N/A</v>
      </c>
      <c r="G1136" s="14" t="e">
        <v>#N/A</v>
      </c>
      <c r="H1136" s="14" t="e">
        <v>#N/A</v>
      </c>
      <c r="J1136" s="13" t="e">
        <v>#N/A</v>
      </c>
      <c r="K1136" s="13" t="e">
        <v>#N/A</v>
      </c>
      <c r="L1136" s="14" t="e">
        <v>#N/A</v>
      </c>
      <c r="M1136" s="14" t="e">
        <v>#N/A</v>
      </c>
    </row>
    <row r="1137" spans="5:13">
      <c r="E1137" s="13" t="e">
        <v>#N/A</v>
      </c>
      <c r="F1137" s="13" t="e">
        <v>#N/A</v>
      </c>
      <c r="G1137" s="14" t="e">
        <v>#N/A</v>
      </c>
      <c r="H1137" s="14" t="e">
        <v>#N/A</v>
      </c>
      <c r="J1137" s="13" t="e">
        <v>#N/A</v>
      </c>
      <c r="K1137" s="13" t="e">
        <v>#N/A</v>
      </c>
      <c r="L1137" s="14" t="e">
        <v>#N/A</v>
      </c>
      <c r="M1137" s="14" t="e">
        <v>#N/A</v>
      </c>
    </row>
    <row r="1138" spans="5:13">
      <c r="E1138" s="13" t="e">
        <v>#N/A</v>
      </c>
      <c r="F1138" s="13" t="e">
        <v>#N/A</v>
      </c>
      <c r="G1138" s="14" t="e">
        <v>#N/A</v>
      </c>
      <c r="H1138" s="14" t="e">
        <v>#N/A</v>
      </c>
      <c r="J1138" s="13" t="e">
        <v>#N/A</v>
      </c>
      <c r="K1138" s="13" t="e">
        <v>#N/A</v>
      </c>
      <c r="L1138" s="14" t="e">
        <v>#N/A</v>
      </c>
      <c r="M1138" s="14" t="e">
        <v>#N/A</v>
      </c>
    </row>
    <row r="1139" spans="5:13">
      <c r="E1139" s="13" t="e">
        <v>#N/A</v>
      </c>
      <c r="F1139" s="13" t="e">
        <v>#N/A</v>
      </c>
      <c r="G1139" s="14" t="e">
        <v>#N/A</v>
      </c>
      <c r="H1139" s="14" t="e">
        <v>#N/A</v>
      </c>
      <c r="J1139" s="13" t="e">
        <v>#N/A</v>
      </c>
      <c r="K1139" s="13" t="e">
        <v>#N/A</v>
      </c>
      <c r="L1139" s="14" t="e">
        <v>#N/A</v>
      </c>
      <c r="M1139" s="14" t="e">
        <v>#N/A</v>
      </c>
    </row>
    <row r="1140" spans="5:13">
      <c r="E1140" s="13" t="e">
        <v>#N/A</v>
      </c>
      <c r="F1140" s="13" t="e">
        <v>#N/A</v>
      </c>
      <c r="G1140" s="14" t="e">
        <v>#N/A</v>
      </c>
      <c r="H1140" s="14" t="e">
        <v>#N/A</v>
      </c>
      <c r="J1140" s="13" t="e">
        <v>#N/A</v>
      </c>
      <c r="K1140" s="13" t="e">
        <v>#N/A</v>
      </c>
      <c r="L1140" s="14" t="e">
        <v>#N/A</v>
      </c>
      <c r="M1140" s="14" t="e">
        <v>#N/A</v>
      </c>
    </row>
    <row r="1141" spans="5:13">
      <c r="E1141" s="13" t="e">
        <v>#N/A</v>
      </c>
      <c r="F1141" s="13" t="e">
        <v>#N/A</v>
      </c>
      <c r="G1141" s="14" t="e">
        <v>#N/A</v>
      </c>
      <c r="H1141" s="14" t="e">
        <v>#N/A</v>
      </c>
      <c r="J1141" s="13" t="e">
        <v>#N/A</v>
      </c>
      <c r="K1141" s="13" t="e">
        <v>#N/A</v>
      </c>
      <c r="L1141" s="14" t="e">
        <v>#N/A</v>
      </c>
      <c r="M1141" s="14" t="e">
        <v>#N/A</v>
      </c>
    </row>
    <row r="1142" spans="5:13">
      <c r="E1142" s="13" t="e">
        <v>#N/A</v>
      </c>
      <c r="F1142" s="13" t="e">
        <v>#N/A</v>
      </c>
      <c r="G1142" s="14" t="e">
        <v>#N/A</v>
      </c>
      <c r="H1142" s="14" t="e">
        <v>#N/A</v>
      </c>
      <c r="J1142" s="13" t="e">
        <v>#N/A</v>
      </c>
      <c r="K1142" s="13" t="e">
        <v>#N/A</v>
      </c>
      <c r="L1142" s="14" t="e">
        <v>#N/A</v>
      </c>
      <c r="M1142" s="14" t="e">
        <v>#N/A</v>
      </c>
    </row>
    <row r="1143" spans="5:13">
      <c r="E1143" s="13" t="e">
        <v>#N/A</v>
      </c>
      <c r="F1143" s="13" t="e">
        <v>#N/A</v>
      </c>
      <c r="G1143" s="14" t="e">
        <v>#N/A</v>
      </c>
      <c r="H1143" s="14" t="e">
        <v>#N/A</v>
      </c>
      <c r="J1143" s="13" t="e">
        <v>#N/A</v>
      </c>
      <c r="K1143" s="13" t="e">
        <v>#N/A</v>
      </c>
      <c r="L1143" s="14" t="e">
        <v>#N/A</v>
      </c>
      <c r="M1143" s="14" t="e">
        <v>#N/A</v>
      </c>
    </row>
    <row r="1144" spans="5:13">
      <c r="E1144" s="13" t="e">
        <v>#N/A</v>
      </c>
      <c r="F1144" s="13" t="e">
        <v>#N/A</v>
      </c>
      <c r="G1144" s="14" t="e">
        <v>#N/A</v>
      </c>
      <c r="H1144" s="14" t="e">
        <v>#N/A</v>
      </c>
      <c r="J1144" s="13" t="e">
        <v>#N/A</v>
      </c>
      <c r="K1144" s="13" t="e">
        <v>#N/A</v>
      </c>
      <c r="L1144" s="14" t="e">
        <v>#N/A</v>
      </c>
      <c r="M1144" s="14" t="e">
        <v>#N/A</v>
      </c>
    </row>
    <row r="1145" spans="5:13">
      <c r="E1145" s="13" t="e">
        <v>#N/A</v>
      </c>
      <c r="F1145" s="13" t="e">
        <v>#N/A</v>
      </c>
      <c r="G1145" s="14" t="e">
        <v>#N/A</v>
      </c>
      <c r="H1145" s="14" t="e">
        <v>#N/A</v>
      </c>
      <c r="J1145" s="13" t="e">
        <v>#N/A</v>
      </c>
      <c r="K1145" s="13" t="e">
        <v>#N/A</v>
      </c>
      <c r="L1145" s="14" t="e">
        <v>#N/A</v>
      </c>
      <c r="M1145" s="14" t="e">
        <v>#N/A</v>
      </c>
    </row>
    <row r="1146" spans="5:13">
      <c r="E1146" s="13" t="e">
        <v>#N/A</v>
      </c>
      <c r="F1146" s="13" t="e">
        <v>#N/A</v>
      </c>
      <c r="G1146" s="14" t="e">
        <v>#N/A</v>
      </c>
      <c r="H1146" s="14" t="e">
        <v>#N/A</v>
      </c>
      <c r="J1146" s="13" t="e">
        <v>#N/A</v>
      </c>
      <c r="K1146" s="13" t="e">
        <v>#N/A</v>
      </c>
      <c r="L1146" s="14" t="e">
        <v>#N/A</v>
      </c>
      <c r="M1146" s="14" t="e">
        <v>#N/A</v>
      </c>
    </row>
    <row r="1147" spans="5:13">
      <c r="E1147" s="13" t="e">
        <v>#N/A</v>
      </c>
      <c r="F1147" s="13" t="e">
        <v>#N/A</v>
      </c>
      <c r="G1147" s="14" t="e">
        <v>#N/A</v>
      </c>
      <c r="H1147" s="14" t="e">
        <v>#N/A</v>
      </c>
      <c r="J1147" s="13" t="e">
        <v>#N/A</v>
      </c>
      <c r="K1147" s="13" t="e">
        <v>#N/A</v>
      </c>
      <c r="L1147" s="14" t="e">
        <v>#N/A</v>
      </c>
      <c r="M1147" s="14" t="e">
        <v>#N/A</v>
      </c>
    </row>
    <row r="1148" spans="5:13">
      <c r="E1148" s="13" t="e">
        <v>#N/A</v>
      </c>
      <c r="F1148" s="13" t="e">
        <v>#N/A</v>
      </c>
      <c r="G1148" s="14" t="e">
        <v>#N/A</v>
      </c>
      <c r="H1148" s="14" t="e">
        <v>#N/A</v>
      </c>
      <c r="J1148" s="13" t="e">
        <v>#N/A</v>
      </c>
      <c r="K1148" s="13" t="e">
        <v>#N/A</v>
      </c>
      <c r="L1148" s="14" t="e">
        <v>#N/A</v>
      </c>
      <c r="M1148" s="14" t="e">
        <v>#N/A</v>
      </c>
    </row>
    <row r="1149" spans="5:13">
      <c r="E1149" s="13" t="e">
        <v>#N/A</v>
      </c>
      <c r="F1149" s="13" t="e">
        <v>#N/A</v>
      </c>
      <c r="G1149" s="14" t="e">
        <v>#N/A</v>
      </c>
      <c r="H1149" s="14" t="e">
        <v>#N/A</v>
      </c>
      <c r="J1149" s="13" t="e">
        <v>#N/A</v>
      </c>
      <c r="K1149" s="13" t="e">
        <v>#N/A</v>
      </c>
      <c r="L1149" s="14" t="e">
        <v>#N/A</v>
      </c>
      <c r="M1149" s="14" t="e">
        <v>#N/A</v>
      </c>
    </row>
    <row r="1150" spans="5:13">
      <c r="E1150" s="13" t="e">
        <v>#N/A</v>
      </c>
      <c r="F1150" s="13" t="e">
        <v>#N/A</v>
      </c>
      <c r="G1150" s="14" t="e">
        <v>#N/A</v>
      </c>
      <c r="H1150" s="14" t="e">
        <v>#N/A</v>
      </c>
      <c r="J1150" s="13" t="e">
        <v>#N/A</v>
      </c>
      <c r="K1150" s="13" t="e">
        <v>#N/A</v>
      </c>
      <c r="L1150" s="14" t="e">
        <v>#N/A</v>
      </c>
      <c r="M1150" s="14" t="e">
        <v>#N/A</v>
      </c>
    </row>
    <row r="1151" spans="5:13">
      <c r="E1151" s="13" t="e">
        <v>#N/A</v>
      </c>
      <c r="F1151" s="13" t="e">
        <v>#N/A</v>
      </c>
      <c r="G1151" s="14" t="e">
        <v>#N/A</v>
      </c>
      <c r="H1151" s="14" t="e">
        <v>#N/A</v>
      </c>
      <c r="J1151" s="13" t="e">
        <v>#N/A</v>
      </c>
      <c r="K1151" s="13" t="e">
        <v>#N/A</v>
      </c>
      <c r="L1151" s="14" t="e">
        <v>#N/A</v>
      </c>
      <c r="M1151" s="14" t="e">
        <v>#N/A</v>
      </c>
    </row>
    <row r="1152" spans="5:13">
      <c r="E1152" s="13" t="e">
        <v>#N/A</v>
      </c>
      <c r="F1152" s="13" t="e">
        <v>#N/A</v>
      </c>
      <c r="G1152" s="14" t="e">
        <v>#N/A</v>
      </c>
      <c r="H1152" s="14" t="e">
        <v>#N/A</v>
      </c>
      <c r="J1152" s="13" t="e">
        <v>#N/A</v>
      </c>
      <c r="K1152" s="13" t="e">
        <v>#N/A</v>
      </c>
      <c r="L1152" s="14" t="e">
        <v>#N/A</v>
      </c>
      <c r="M1152" s="14" t="e">
        <v>#N/A</v>
      </c>
    </row>
    <row r="1153" spans="5:13">
      <c r="E1153" s="13" t="e">
        <v>#N/A</v>
      </c>
      <c r="F1153" s="13" t="e">
        <v>#N/A</v>
      </c>
      <c r="G1153" s="14" t="e">
        <v>#N/A</v>
      </c>
      <c r="H1153" s="14" t="e">
        <v>#N/A</v>
      </c>
      <c r="J1153" s="13" t="e">
        <v>#N/A</v>
      </c>
      <c r="K1153" s="13" t="e">
        <v>#N/A</v>
      </c>
      <c r="L1153" s="14" t="e">
        <v>#N/A</v>
      </c>
      <c r="M1153" s="14" t="e">
        <v>#N/A</v>
      </c>
    </row>
    <row r="1154" spans="5:13">
      <c r="E1154" s="13" t="e">
        <v>#N/A</v>
      </c>
      <c r="F1154" s="13" t="e">
        <v>#N/A</v>
      </c>
      <c r="G1154" s="14" t="e">
        <v>#N/A</v>
      </c>
      <c r="H1154" s="14" t="e">
        <v>#N/A</v>
      </c>
      <c r="J1154" s="13" t="e">
        <v>#N/A</v>
      </c>
      <c r="K1154" s="13" t="e">
        <v>#N/A</v>
      </c>
      <c r="L1154" s="14" t="e">
        <v>#N/A</v>
      </c>
      <c r="M1154" s="14" t="e">
        <v>#N/A</v>
      </c>
    </row>
    <row r="1155" spans="5:13">
      <c r="E1155" s="13" t="e">
        <v>#N/A</v>
      </c>
      <c r="F1155" s="13" t="e">
        <v>#N/A</v>
      </c>
      <c r="G1155" s="14" t="e">
        <v>#N/A</v>
      </c>
      <c r="H1155" s="14" t="e">
        <v>#N/A</v>
      </c>
      <c r="J1155" s="13" t="e">
        <v>#N/A</v>
      </c>
      <c r="K1155" s="13" t="e">
        <v>#N/A</v>
      </c>
      <c r="L1155" s="14" t="e">
        <v>#N/A</v>
      </c>
      <c r="M1155" s="14" t="e">
        <v>#N/A</v>
      </c>
    </row>
    <row r="1156" spans="5:13">
      <c r="E1156" s="13" t="e">
        <v>#N/A</v>
      </c>
      <c r="F1156" s="13" t="e">
        <v>#N/A</v>
      </c>
      <c r="G1156" s="14" t="e">
        <v>#N/A</v>
      </c>
      <c r="H1156" s="14" t="e">
        <v>#N/A</v>
      </c>
      <c r="J1156" s="13" t="e">
        <v>#N/A</v>
      </c>
      <c r="K1156" s="13" t="e">
        <v>#N/A</v>
      </c>
      <c r="L1156" s="14" t="e">
        <v>#N/A</v>
      </c>
      <c r="M1156" s="14" t="e">
        <v>#N/A</v>
      </c>
    </row>
    <row r="1157" spans="5:13">
      <c r="E1157" s="13" t="e">
        <v>#N/A</v>
      </c>
      <c r="F1157" s="13" t="e">
        <v>#N/A</v>
      </c>
      <c r="G1157" s="14" t="e">
        <v>#N/A</v>
      </c>
      <c r="H1157" s="14" t="e">
        <v>#N/A</v>
      </c>
      <c r="J1157" s="13" t="e">
        <v>#N/A</v>
      </c>
      <c r="K1157" s="13" t="e">
        <v>#N/A</v>
      </c>
      <c r="L1157" s="14" t="e">
        <v>#N/A</v>
      </c>
      <c r="M1157" s="14" t="e">
        <v>#N/A</v>
      </c>
    </row>
    <row r="1158" spans="5:13">
      <c r="E1158" s="13" t="e">
        <v>#N/A</v>
      </c>
      <c r="F1158" s="13" t="e">
        <v>#N/A</v>
      </c>
      <c r="G1158" s="14" t="e">
        <v>#N/A</v>
      </c>
      <c r="H1158" s="14" t="e">
        <v>#N/A</v>
      </c>
      <c r="J1158" s="13" t="e">
        <v>#N/A</v>
      </c>
      <c r="K1158" s="13" t="e">
        <v>#N/A</v>
      </c>
      <c r="L1158" s="14" t="e">
        <v>#N/A</v>
      </c>
      <c r="M1158" s="14" t="e">
        <v>#N/A</v>
      </c>
    </row>
    <row r="1159" spans="5:13">
      <c r="E1159" s="13" t="e">
        <v>#N/A</v>
      </c>
      <c r="F1159" s="13" t="e">
        <v>#N/A</v>
      </c>
      <c r="G1159" s="14" t="e">
        <v>#N/A</v>
      </c>
      <c r="H1159" s="14" t="e">
        <v>#N/A</v>
      </c>
      <c r="J1159" s="13" t="e">
        <v>#N/A</v>
      </c>
      <c r="K1159" s="13" t="e">
        <v>#N/A</v>
      </c>
      <c r="L1159" s="14" t="e">
        <v>#N/A</v>
      </c>
      <c r="M1159" s="14" t="e">
        <v>#N/A</v>
      </c>
    </row>
    <row r="1160" spans="5:13">
      <c r="E1160" s="13" t="e">
        <v>#N/A</v>
      </c>
      <c r="F1160" s="13" t="e">
        <v>#N/A</v>
      </c>
      <c r="G1160" s="14" t="e">
        <v>#N/A</v>
      </c>
      <c r="H1160" s="14" t="e">
        <v>#N/A</v>
      </c>
      <c r="J1160" s="13" t="e">
        <v>#N/A</v>
      </c>
      <c r="K1160" s="13" t="e">
        <v>#N/A</v>
      </c>
      <c r="L1160" s="14" t="e">
        <v>#N/A</v>
      </c>
      <c r="M1160" s="14" t="e">
        <v>#N/A</v>
      </c>
    </row>
    <row r="1161" spans="5:13">
      <c r="E1161" s="13" t="e">
        <v>#N/A</v>
      </c>
      <c r="F1161" s="13" t="e">
        <v>#N/A</v>
      </c>
      <c r="G1161" s="14" t="e">
        <v>#N/A</v>
      </c>
      <c r="H1161" s="14" t="e">
        <v>#N/A</v>
      </c>
      <c r="J1161" s="13" t="e">
        <v>#N/A</v>
      </c>
      <c r="K1161" s="13" t="e">
        <v>#N/A</v>
      </c>
      <c r="L1161" s="14" t="e">
        <v>#N/A</v>
      </c>
      <c r="M1161" s="14" t="e">
        <v>#N/A</v>
      </c>
    </row>
    <row r="1162" spans="5:13">
      <c r="E1162" s="13" t="e">
        <v>#N/A</v>
      </c>
      <c r="F1162" s="13" t="e">
        <v>#N/A</v>
      </c>
      <c r="G1162" s="14" t="e">
        <v>#N/A</v>
      </c>
      <c r="H1162" s="14" t="e">
        <v>#N/A</v>
      </c>
      <c r="J1162" s="13" t="e">
        <v>#N/A</v>
      </c>
      <c r="K1162" s="13" t="e">
        <v>#N/A</v>
      </c>
      <c r="L1162" s="14" t="e">
        <v>#N/A</v>
      </c>
      <c r="M1162" s="14" t="e">
        <v>#N/A</v>
      </c>
    </row>
    <row r="1163" spans="5:13">
      <c r="E1163" s="13" t="e">
        <v>#N/A</v>
      </c>
      <c r="F1163" s="13" t="e">
        <v>#N/A</v>
      </c>
      <c r="G1163" s="14" t="e">
        <v>#N/A</v>
      </c>
      <c r="H1163" s="14" t="e">
        <v>#N/A</v>
      </c>
      <c r="J1163" s="13" t="e">
        <v>#N/A</v>
      </c>
      <c r="K1163" s="13" t="e">
        <v>#N/A</v>
      </c>
      <c r="L1163" s="14" t="e">
        <v>#N/A</v>
      </c>
      <c r="M1163" s="14" t="e">
        <v>#N/A</v>
      </c>
    </row>
    <row r="1164" spans="5:13">
      <c r="E1164" s="13" t="e">
        <v>#N/A</v>
      </c>
      <c r="F1164" s="13" t="e">
        <v>#N/A</v>
      </c>
      <c r="G1164" s="14" t="e">
        <v>#N/A</v>
      </c>
      <c r="H1164" s="14" t="e">
        <v>#N/A</v>
      </c>
      <c r="J1164" s="13" t="e">
        <v>#N/A</v>
      </c>
      <c r="K1164" s="13" t="e">
        <v>#N/A</v>
      </c>
      <c r="L1164" s="14" t="e">
        <v>#N/A</v>
      </c>
      <c r="M1164" s="14" t="e">
        <v>#N/A</v>
      </c>
    </row>
    <row r="1165" spans="5:13">
      <c r="E1165" s="13" t="e">
        <v>#N/A</v>
      </c>
      <c r="F1165" s="13" t="e">
        <v>#N/A</v>
      </c>
      <c r="G1165" s="14" t="e">
        <v>#N/A</v>
      </c>
      <c r="H1165" s="14" t="e">
        <v>#N/A</v>
      </c>
      <c r="J1165" s="13" t="e">
        <v>#N/A</v>
      </c>
      <c r="K1165" s="13" t="e">
        <v>#N/A</v>
      </c>
      <c r="L1165" s="14" t="e">
        <v>#N/A</v>
      </c>
      <c r="M1165" s="14" t="e">
        <v>#N/A</v>
      </c>
    </row>
    <row r="1166" spans="5:13">
      <c r="E1166" s="13" t="e">
        <v>#N/A</v>
      </c>
      <c r="F1166" s="13" t="e">
        <v>#N/A</v>
      </c>
      <c r="G1166" s="14" t="e">
        <v>#N/A</v>
      </c>
      <c r="H1166" s="14" t="e">
        <v>#N/A</v>
      </c>
      <c r="J1166" s="13" t="e">
        <v>#N/A</v>
      </c>
      <c r="K1166" s="13" t="e">
        <v>#N/A</v>
      </c>
      <c r="L1166" s="14" t="e">
        <v>#N/A</v>
      </c>
      <c r="M1166" s="14" t="e">
        <v>#N/A</v>
      </c>
    </row>
    <row r="1167" spans="5:13">
      <c r="E1167" s="13" t="e">
        <v>#N/A</v>
      </c>
      <c r="F1167" s="13" t="e">
        <v>#N/A</v>
      </c>
      <c r="G1167" s="14" t="e">
        <v>#N/A</v>
      </c>
      <c r="H1167" s="14" t="e">
        <v>#N/A</v>
      </c>
      <c r="J1167" s="13" t="e">
        <v>#N/A</v>
      </c>
      <c r="K1167" s="13" t="e">
        <v>#N/A</v>
      </c>
      <c r="L1167" s="14" t="e">
        <v>#N/A</v>
      </c>
      <c r="M1167" s="14" t="e">
        <v>#N/A</v>
      </c>
    </row>
    <row r="1168" spans="5:13">
      <c r="E1168" s="13" t="e">
        <v>#N/A</v>
      </c>
      <c r="F1168" s="13" t="e">
        <v>#N/A</v>
      </c>
      <c r="G1168" s="14" t="e">
        <v>#N/A</v>
      </c>
      <c r="H1168" s="14" t="e">
        <v>#N/A</v>
      </c>
      <c r="J1168" s="13" t="e">
        <v>#N/A</v>
      </c>
      <c r="K1168" s="13" t="e">
        <v>#N/A</v>
      </c>
      <c r="L1168" s="14" t="e">
        <v>#N/A</v>
      </c>
      <c r="M1168" s="14" t="e">
        <v>#N/A</v>
      </c>
    </row>
    <row r="1169" spans="5:13">
      <c r="E1169" s="13" t="e">
        <v>#N/A</v>
      </c>
      <c r="F1169" s="13" t="e">
        <v>#N/A</v>
      </c>
      <c r="G1169" s="14" t="e">
        <v>#N/A</v>
      </c>
      <c r="H1169" s="14" t="e">
        <v>#N/A</v>
      </c>
      <c r="J1169" s="13" t="e">
        <v>#N/A</v>
      </c>
      <c r="K1169" s="13" t="e">
        <v>#N/A</v>
      </c>
      <c r="L1169" s="14" t="e">
        <v>#N/A</v>
      </c>
      <c r="M1169" s="14" t="e">
        <v>#N/A</v>
      </c>
    </row>
    <row r="1170" spans="5:13">
      <c r="E1170" s="13" t="e">
        <v>#N/A</v>
      </c>
      <c r="F1170" s="13" t="e">
        <v>#N/A</v>
      </c>
      <c r="G1170" s="14" t="e">
        <v>#N/A</v>
      </c>
      <c r="H1170" s="14" t="e">
        <v>#N/A</v>
      </c>
      <c r="J1170" s="13" t="e">
        <v>#N/A</v>
      </c>
      <c r="K1170" s="13" t="e">
        <v>#N/A</v>
      </c>
      <c r="L1170" s="14" t="e">
        <v>#N/A</v>
      </c>
      <c r="M1170" s="14" t="e">
        <v>#N/A</v>
      </c>
    </row>
    <row r="1171" spans="5:13">
      <c r="E1171" s="13" t="e">
        <v>#N/A</v>
      </c>
      <c r="F1171" s="13" t="e">
        <v>#N/A</v>
      </c>
      <c r="G1171" s="14" t="e">
        <v>#N/A</v>
      </c>
      <c r="H1171" s="14" t="e">
        <v>#N/A</v>
      </c>
      <c r="J1171" s="13" t="e">
        <v>#N/A</v>
      </c>
      <c r="K1171" s="13" t="e">
        <v>#N/A</v>
      </c>
      <c r="L1171" s="14" t="e">
        <v>#N/A</v>
      </c>
      <c r="M1171" s="14" t="e">
        <v>#N/A</v>
      </c>
    </row>
    <row r="1172" spans="5:13">
      <c r="E1172" s="13" t="e">
        <v>#N/A</v>
      </c>
      <c r="F1172" s="13" t="e">
        <v>#N/A</v>
      </c>
      <c r="G1172" s="14" t="e">
        <v>#N/A</v>
      </c>
      <c r="H1172" s="14" t="e">
        <v>#N/A</v>
      </c>
      <c r="J1172" s="13" t="e">
        <v>#N/A</v>
      </c>
      <c r="K1172" s="13" t="e">
        <v>#N/A</v>
      </c>
      <c r="L1172" s="14" t="e">
        <v>#N/A</v>
      </c>
      <c r="M1172" s="14" t="e">
        <v>#N/A</v>
      </c>
    </row>
    <row r="1173" spans="5:13">
      <c r="E1173" s="13" t="e">
        <v>#N/A</v>
      </c>
      <c r="F1173" s="13" t="e">
        <v>#N/A</v>
      </c>
      <c r="G1173" s="14" t="e">
        <v>#N/A</v>
      </c>
      <c r="H1173" s="14" t="e">
        <v>#N/A</v>
      </c>
      <c r="J1173" s="13" t="e">
        <v>#N/A</v>
      </c>
      <c r="K1173" s="13" t="e">
        <v>#N/A</v>
      </c>
      <c r="L1173" s="14" t="e">
        <v>#N/A</v>
      </c>
      <c r="M1173" s="14" t="e">
        <v>#N/A</v>
      </c>
    </row>
    <row r="1174" spans="5:13">
      <c r="E1174" s="13" t="e">
        <v>#N/A</v>
      </c>
      <c r="F1174" s="13" t="e">
        <v>#N/A</v>
      </c>
      <c r="G1174" s="14" t="e">
        <v>#N/A</v>
      </c>
      <c r="H1174" s="14" t="e">
        <v>#N/A</v>
      </c>
      <c r="J1174" s="13" t="e">
        <v>#N/A</v>
      </c>
      <c r="K1174" s="13" t="e">
        <v>#N/A</v>
      </c>
      <c r="L1174" s="14" t="e">
        <v>#N/A</v>
      </c>
      <c r="M1174" s="14" t="e">
        <v>#N/A</v>
      </c>
    </row>
    <row r="1175" spans="5:13">
      <c r="E1175" s="13" t="e">
        <v>#N/A</v>
      </c>
      <c r="F1175" s="13" t="e">
        <v>#N/A</v>
      </c>
      <c r="G1175" s="14" t="e">
        <v>#N/A</v>
      </c>
      <c r="H1175" s="14" t="e">
        <v>#N/A</v>
      </c>
      <c r="J1175" s="13" t="e">
        <v>#N/A</v>
      </c>
      <c r="K1175" s="13" t="e">
        <v>#N/A</v>
      </c>
      <c r="L1175" s="14" t="e">
        <v>#N/A</v>
      </c>
      <c r="M1175" s="14" t="e">
        <v>#N/A</v>
      </c>
    </row>
    <row r="1176" spans="5:13">
      <c r="E1176" s="13" t="e">
        <v>#N/A</v>
      </c>
      <c r="F1176" s="13" t="e">
        <v>#N/A</v>
      </c>
      <c r="G1176" s="14" t="e">
        <v>#N/A</v>
      </c>
      <c r="H1176" s="14" t="e">
        <v>#N/A</v>
      </c>
      <c r="J1176" s="13" t="e">
        <v>#N/A</v>
      </c>
      <c r="K1176" s="13" t="e">
        <v>#N/A</v>
      </c>
      <c r="L1176" s="14" t="e">
        <v>#N/A</v>
      </c>
      <c r="M1176" s="14" t="e">
        <v>#N/A</v>
      </c>
    </row>
    <row r="1177" spans="5:13">
      <c r="E1177" s="13" t="e">
        <v>#N/A</v>
      </c>
      <c r="F1177" s="13" t="e">
        <v>#N/A</v>
      </c>
      <c r="G1177" s="14" t="e">
        <v>#N/A</v>
      </c>
      <c r="H1177" s="14" t="e">
        <v>#N/A</v>
      </c>
      <c r="J1177" s="13" t="e">
        <v>#N/A</v>
      </c>
      <c r="K1177" s="13" t="e">
        <v>#N/A</v>
      </c>
      <c r="L1177" s="14" t="e">
        <v>#N/A</v>
      </c>
      <c r="M1177" s="14" t="e">
        <v>#N/A</v>
      </c>
    </row>
    <row r="1178" spans="5:13">
      <c r="E1178" s="13" t="e">
        <v>#N/A</v>
      </c>
      <c r="F1178" s="13" t="e">
        <v>#N/A</v>
      </c>
      <c r="G1178" s="14" t="e">
        <v>#N/A</v>
      </c>
      <c r="H1178" s="14" t="e">
        <v>#N/A</v>
      </c>
      <c r="J1178" s="13" t="e">
        <v>#N/A</v>
      </c>
      <c r="K1178" s="13" t="e">
        <v>#N/A</v>
      </c>
      <c r="L1178" s="14" t="e">
        <v>#N/A</v>
      </c>
      <c r="M1178" s="14" t="e">
        <v>#N/A</v>
      </c>
    </row>
    <row r="1179" spans="5:13">
      <c r="E1179" s="13" t="e">
        <v>#N/A</v>
      </c>
      <c r="F1179" s="13" t="e">
        <v>#N/A</v>
      </c>
      <c r="G1179" s="14" t="e">
        <v>#N/A</v>
      </c>
      <c r="H1179" s="14" t="e">
        <v>#N/A</v>
      </c>
      <c r="J1179" s="13" t="e">
        <v>#N/A</v>
      </c>
      <c r="K1179" s="13" t="e">
        <v>#N/A</v>
      </c>
      <c r="L1179" s="14" t="e">
        <v>#N/A</v>
      </c>
      <c r="M1179" s="14" t="e">
        <v>#N/A</v>
      </c>
    </row>
    <row r="1180" spans="5:13">
      <c r="E1180" s="13" t="e">
        <v>#N/A</v>
      </c>
      <c r="F1180" s="13" t="e">
        <v>#N/A</v>
      </c>
      <c r="G1180" s="14" t="e">
        <v>#N/A</v>
      </c>
      <c r="H1180" s="14" t="e">
        <v>#N/A</v>
      </c>
      <c r="J1180" s="13" t="e">
        <v>#N/A</v>
      </c>
      <c r="K1180" s="13" t="e">
        <v>#N/A</v>
      </c>
      <c r="L1180" s="14" t="e">
        <v>#N/A</v>
      </c>
      <c r="M1180" s="14" t="e">
        <v>#N/A</v>
      </c>
    </row>
    <row r="1181" spans="5:13">
      <c r="E1181" s="13" t="e">
        <v>#N/A</v>
      </c>
      <c r="F1181" s="13" t="e">
        <v>#N/A</v>
      </c>
      <c r="G1181" s="14" t="e">
        <v>#N/A</v>
      </c>
      <c r="H1181" s="14" t="e">
        <v>#N/A</v>
      </c>
      <c r="J1181" s="13" t="e">
        <v>#N/A</v>
      </c>
      <c r="K1181" s="13" t="e">
        <v>#N/A</v>
      </c>
      <c r="L1181" s="14" t="e">
        <v>#N/A</v>
      </c>
      <c r="M1181" s="14" t="e">
        <v>#N/A</v>
      </c>
    </row>
    <row r="1182" spans="5:13">
      <c r="E1182" s="13" t="e">
        <v>#N/A</v>
      </c>
      <c r="F1182" s="13" t="e">
        <v>#N/A</v>
      </c>
      <c r="G1182" s="14" t="e">
        <v>#N/A</v>
      </c>
      <c r="H1182" s="14" t="e">
        <v>#N/A</v>
      </c>
      <c r="J1182" s="13" t="e">
        <v>#N/A</v>
      </c>
      <c r="K1182" s="13" t="e">
        <v>#N/A</v>
      </c>
      <c r="L1182" s="14" t="e">
        <v>#N/A</v>
      </c>
      <c r="M1182" s="14" t="e">
        <v>#N/A</v>
      </c>
    </row>
    <row r="1183" spans="5:13">
      <c r="E1183" s="13" t="e">
        <v>#N/A</v>
      </c>
      <c r="F1183" s="13" t="e">
        <v>#N/A</v>
      </c>
      <c r="G1183" s="14" t="e">
        <v>#N/A</v>
      </c>
      <c r="H1183" s="14" t="e">
        <v>#N/A</v>
      </c>
      <c r="J1183" s="13" t="e">
        <v>#N/A</v>
      </c>
      <c r="K1183" s="13" t="e">
        <v>#N/A</v>
      </c>
      <c r="L1183" s="14" t="e">
        <v>#N/A</v>
      </c>
      <c r="M1183" s="14" t="e">
        <v>#N/A</v>
      </c>
    </row>
    <row r="1184" spans="5:13">
      <c r="E1184" s="13" t="e">
        <v>#N/A</v>
      </c>
      <c r="F1184" s="13" t="e">
        <v>#N/A</v>
      </c>
      <c r="G1184" s="14" t="e">
        <v>#N/A</v>
      </c>
      <c r="H1184" s="14" t="e">
        <v>#N/A</v>
      </c>
      <c r="J1184" s="13" t="e">
        <v>#N/A</v>
      </c>
      <c r="K1184" s="13" t="e">
        <v>#N/A</v>
      </c>
      <c r="L1184" s="14" t="e">
        <v>#N/A</v>
      </c>
      <c r="M1184" s="14" t="e">
        <v>#N/A</v>
      </c>
    </row>
    <row r="1185" spans="5:13">
      <c r="E1185" s="13" t="e">
        <v>#N/A</v>
      </c>
      <c r="F1185" s="13" t="e">
        <v>#N/A</v>
      </c>
      <c r="G1185" s="14" t="e">
        <v>#N/A</v>
      </c>
      <c r="H1185" s="14" t="e">
        <v>#N/A</v>
      </c>
      <c r="J1185" s="13" t="e">
        <v>#N/A</v>
      </c>
      <c r="K1185" s="13" t="e">
        <v>#N/A</v>
      </c>
      <c r="L1185" s="14" t="e">
        <v>#N/A</v>
      </c>
      <c r="M1185" s="14" t="e">
        <v>#N/A</v>
      </c>
    </row>
    <row r="1186" spans="5:13">
      <c r="E1186" s="13" t="e">
        <v>#N/A</v>
      </c>
      <c r="F1186" s="13" t="e">
        <v>#N/A</v>
      </c>
      <c r="G1186" s="14" t="e">
        <v>#N/A</v>
      </c>
      <c r="H1186" s="14" t="e">
        <v>#N/A</v>
      </c>
      <c r="J1186" s="13" t="e">
        <v>#N/A</v>
      </c>
      <c r="K1186" s="13" t="e">
        <v>#N/A</v>
      </c>
      <c r="L1186" s="14" t="e">
        <v>#N/A</v>
      </c>
      <c r="M1186" s="14" t="e">
        <v>#N/A</v>
      </c>
    </row>
    <row r="1187" spans="5:13">
      <c r="E1187" s="13" t="e">
        <v>#N/A</v>
      </c>
      <c r="F1187" s="13" t="e">
        <v>#N/A</v>
      </c>
      <c r="G1187" s="14" t="e">
        <v>#N/A</v>
      </c>
      <c r="H1187" s="14" t="e">
        <v>#N/A</v>
      </c>
      <c r="J1187" s="13" t="e">
        <v>#N/A</v>
      </c>
      <c r="K1187" s="13" t="e">
        <v>#N/A</v>
      </c>
      <c r="L1187" s="14" t="e">
        <v>#N/A</v>
      </c>
      <c r="M1187" s="14" t="e">
        <v>#N/A</v>
      </c>
    </row>
    <row r="1188" spans="5:13">
      <c r="E1188" s="13" t="e">
        <v>#N/A</v>
      </c>
      <c r="F1188" s="13" t="e">
        <v>#N/A</v>
      </c>
      <c r="G1188" s="14" t="e">
        <v>#N/A</v>
      </c>
      <c r="H1188" s="14" t="e">
        <v>#N/A</v>
      </c>
      <c r="J1188" s="13" t="e">
        <v>#N/A</v>
      </c>
      <c r="K1188" s="13" t="e">
        <v>#N/A</v>
      </c>
      <c r="L1188" s="14" t="e">
        <v>#N/A</v>
      </c>
      <c r="M1188" s="14" t="e">
        <v>#N/A</v>
      </c>
    </row>
    <row r="1189" spans="5:13">
      <c r="E1189" s="13" t="e">
        <v>#N/A</v>
      </c>
      <c r="F1189" s="13" t="e">
        <v>#N/A</v>
      </c>
      <c r="G1189" s="14" t="e">
        <v>#N/A</v>
      </c>
      <c r="H1189" s="14" t="e">
        <v>#N/A</v>
      </c>
      <c r="J1189" s="13" t="e">
        <v>#N/A</v>
      </c>
      <c r="K1189" s="13" t="e">
        <v>#N/A</v>
      </c>
      <c r="L1189" s="14" t="e">
        <v>#N/A</v>
      </c>
      <c r="M1189" s="14" t="e">
        <v>#N/A</v>
      </c>
    </row>
    <row r="1190" spans="5:13">
      <c r="E1190" s="13" t="e">
        <v>#N/A</v>
      </c>
      <c r="F1190" s="13" t="e">
        <v>#N/A</v>
      </c>
      <c r="G1190" s="14" t="e">
        <v>#N/A</v>
      </c>
      <c r="H1190" s="14" t="e">
        <v>#N/A</v>
      </c>
      <c r="J1190" s="13" t="e">
        <v>#N/A</v>
      </c>
      <c r="K1190" s="13" t="e">
        <v>#N/A</v>
      </c>
      <c r="L1190" s="14" t="e">
        <v>#N/A</v>
      </c>
      <c r="M1190" s="14" t="e">
        <v>#N/A</v>
      </c>
    </row>
    <row r="1191" spans="5:13">
      <c r="E1191" s="13" t="e">
        <v>#N/A</v>
      </c>
      <c r="F1191" s="13" t="e">
        <v>#N/A</v>
      </c>
      <c r="G1191" s="14" t="e">
        <v>#N/A</v>
      </c>
      <c r="H1191" s="14" t="e">
        <v>#N/A</v>
      </c>
      <c r="J1191" s="13" t="e">
        <v>#N/A</v>
      </c>
      <c r="K1191" s="13" t="e">
        <v>#N/A</v>
      </c>
      <c r="L1191" s="14" t="e">
        <v>#N/A</v>
      </c>
      <c r="M1191" s="14" t="e">
        <v>#N/A</v>
      </c>
    </row>
    <row r="1192" spans="5:13">
      <c r="E1192" s="13" t="e">
        <v>#N/A</v>
      </c>
      <c r="F1192" s="13" t="e">
        <v>#N/A</v>
      </c>
      <c r="G1192" s="14" t="e">
        <v>#N/A</v>
      </c>
      <c r="H1192" s="14" t="e">
        <v>#N/A</v>
      </c>
      <c r="J1192" s="13" t="e">
        <v>#N/A</v>
      </c>
      <c r="K1192" s="13" t="e">
        <v>#N/A</v>
      </c>
      <c r="L1192" s="14" t="e">
        <v>#N/A</v>
      </c>
      <c r="M1192" s="14" t="e">
        <v>#N/A</v>
      </c>
    </row>
    <row r="1193" spans="5:13">
      <c r="E1193" s="13" t="e">
        <v>#N/A</v>
      </c>
      <c r="F1193" s="13" t="e">
        <v>#N/A</v>
      </c>
      <c r="G1193" s="14" t="e">
        <v>#N/A</v>
      </c>
      <c r="H1193" s="14" t="e">
        <v>#N/A</v>
      </c>
      <c r="J1193" s="13" t="e">
        <v>#N/A</v>
      </c>
      <c r="K1193" s="13" t="e">
        <v>#N/A</v>
      </c>
      <c r="L1193" s="14" t="e">
        <v>#N/A</v>
      </c>
      <c r="M1193" s="14" t="e">
        <v>#N/A</v>
      </c>
    </row>
    <row r="1194" spans="5:13">
      <c r="E1194" s="13" t="e">
        <v>#N/A</v>
      </c>
      <c r="F1194" s="13" t="e">
        <v>#N/A</v>
      </c>
      <c r="G1194" s="14" t="e">
        <v>#N/A</v>
      </c>
      <c r="H1194" s="14" t="e">
        <v>#N/A</v>
      </c>
      <c r="J1194" s="13" t="e">
        <v>#N/A</v>
      </c>
      <c r="K1194" s="13" t="e">
        <v>#N/A</v>
      </c>
      <c r="L1194" s="14" t="e">
        <v>#N/A</v>
      </c>
      <c r="M1194" s="14" t="e">
        <v>#N/A</v>
      </c>
    </row>
    <row r="1195" spans="5:13">
      <c r="E1195" s="13" t="e">
        <v>#N/A</v>
      </c>
      <c r="F1195" s="13" t="e">
        <v>#N/A</v>
      </c>
      <c r="G1195" s="14" t="e">
        <v>#N/A</v>
      </c>
      <c r="H1195" s="14" t="e">
        <v>#N/A</v>
      </c>
      <c r="J1195" s="13" t="e">
        <v>#N/A</v>
      </c>
      <c r="K1195" s="13" t="e">
        <v>#N/A</v>
      </c>
      <c r="L1195" s="14" t="e">
        <v>#N/A</v>
      </c>
      <c r="M1195" s="14" t="e">
        <v>#N/A</v>
      </c>
    </row>
    <row r="1196" spans="5:13">
      <c r="E1196" s="13" t="e">
        <v>#N/A</v>
      </c>
      <c r="F1196" s="13" t="e">
        <v>#N/A</v>
      </c>
      <c r="G1196" s="14" t="e">
        <v>#N/A</v>
      </c>
      <c r="H1196" s="14" t="e">
        <v>#N/A</v>
      </c>
      <c r="J1196" s="13" t="e">
        <v>#N/A</v>
      </c>
      <c r="K1196" s="13" t="e">
        <v>#N/A</v>
      </c>
      <c r="L1196" s="14" t="e">
        <v>#N/A</v>
      </c>
      <c r="M1196" s="14" t="e">
        <v>#N/A</v>
      </c>
    </row>
    <row r="1197" spans="5:13">
      <c r="E1197" s="13" t="e">
        <v>#N/A</v>
      </c>
      <c r="F1197" s="13" t="e">
        <v>#N/A</v>
      </c>
      <c r="G1197" s="14" t="e">
        <v>#N/A</v>
      </c>
      <c r="H1197" s="14" t="e">
        <v>#N/A</v>
      </c>
      <c r="J1197" s="13" t="e">
        <v>#N/A</v>
      </c>
      <c r="K1197" s="13" t="e">
        <v>#N/A</v>
      </c>
      <c r="L1197" s="14" t="e">
        <v>#N/A</v>
      </c>
      <c r="M1197" s="14" t="e">
        <v>#N/A</v>
      </c>
    </row>
    <row r="1198" spans="5:13">
      <c r="E1198" s="13" t="e">
        <v>#N/A</v>
      </c>
      <c r="F1198" s="13" t="e">
        <v>#N/A</v>
      </c>
      <c r="G1198" s="14" t="e">
        <v>#N/A</v>
      </c>
      <c r="H1198" s="14" t="e">
        <v>#N/A</v>
      </c>
      <c r="J1198" s="13" t="e">
        <v>#N/A</v>
      </c>
      <c r="K1198" s="13" t="e">
        <v>#N/A</v>
      </c>
      <c r="L1198" s="14" t="e">
        <v>#N/A</v>
      </c>
      <c r="M1198" s="14" t="e">
        <v>#N/A</v>
      </c>
    </row>
    <row r="1199" spans="5:13">
      <c r="E1199" s="13" t="e">
        <v>#N/A</v>
      </c>
      <c r="F1199" s="13" t="e">
        <v>#N/A</v>
      </c>
      <c r="G1199" s="14" t="e">
        <v>#N/A</v>
      </c>
      <c r="H1199" s="14" t="e">
        <v>#N/A</v>
      </c>
      <c r="J1199" s="13" t="e">
        <v>#N/A</v>
      </c>
      <c r="K1199" s="13" t="e">
        <v>#N/A</v>
      </c>
      <c r="L1199" s="14" t="e">
        <v>#N/A</v>
      </c>
      <c r="M1199" s="14" t="e">
        <v>#N/A</v>
      </c>
    </row>
    <row r="1200" spans="5:13">
      <c r="E1200" s="13" t="e">
        <v>#N/A</v>
      </c>
      <c r="F1200" s="13" t="e">
        <v>#N/A</v>
      </c>
      <c r="G1200" s="14" t="e">
        <v>#N/A</v>
      </c>
      <c r="H1200" s="14" t="e">
        <v>#N/A</v>
      </c>
      <c r="J1200" s="13" t="e">
        <v>#N/A</v>
      </c>
      <c r="K1200" s="13" t="e">
        <v>#N/A</v>
      </c>
      <c r="L1200" s="14" t="e">
        <v>#N/A</v>
      </c>
      <c r="M1200" s="14" t="e">
        <v>#N/A</v>
      </c>
    </row>
    <row r="1201" spans="5:13">
      <c r="E1201" s="13" t="e">
        <v>#N/A</v>
      </c>
      <c r="F1201" s="13" t="e">
        <v>#N/A</v>
      </c>
      <c r="G1201" s="14" t="e">
        <v>#N/A</v>
      </c>
      <c r="H1201" s="14" t="e">
        <v>#N/A</v>
      </c>
      <c r="J1201" s="13" t="e">
        <v>#N/A</v>
      </c>
      <c r="K1201" s="13" t="e">
        <v>#N/A</v>
      </c>
      <c r="L1201" s="14" t="e">
        <v>#N/A</v>
      </c>
      <c r="M1201" s="14" t="e">
        <v>#N/A</v>
      </c>
    </row>
    <row r="1202" spans="5:13">
      <c r="E1202" s="13" t="e">
        <v>#N/A</v>
      </c>
      <c r="F1202" s="13" t="e">
        <v>#N/A</v>
      </c>
      <c r="G1202" s="14" t="e">
        <v>#N/A</v>
      </c>
      <c r="H1202" s="14" t="e">
        <v>#N/A</v>
      </c>
      <c r="J1202" s="13" t="e">
        <v>#N/A</v>
      </c>
      <c r="K1202" s="13" t="e">
        <v>#N/A</v>
      </c>
      <c r="L1202" s="14" t="e">
        <v>#N/A</v>
      </c>
      <c r="M1202" s="14" t="e">
        <v>#N/A</v>
      </c>
    </row>
    <row r="1203" spans="5:13">
      <c r="E1203" s="13" t="e">
        <v>#N/A</v>
      </c>
      <c r="F1203" s="13" t="e">
        <v>#N/A</v>
      </c>
      <c r="G1203" s="14" t="e">
        <v>#N/A</v>
      </c>
      <c r="H1203" s="14" t="e">
        <v>#N/A</v>
      </c>
      <c r="J1203" s="13" t="e">
        <v>#N/A</v>
      </c>
      <c r="K1203" s="13" t="e">
        <v>#N/A</v>
      </c>
      <c r="L1203" s="14" t="e">
        <v>#N/A</v>
      </c>
      <c r="M1203" s="14" t="e">
        <v>#N/A</v>
      </c>
    </row>
    <row r="1204" spans="5:13">
      <c r="E1204" s="13" t="e">
        <v>#N/A</v>
      </c>
      <c r="F1204" s="13" t="e">
        <v>#N/A</v>
      </c>
      <c r="G1204" s="14" t="e">
        <v>#N/A</v>
      </c>
      <c r="H1204" s="14" t="e">
        <v>#N/A</v>
      </c>
      <c r="J1204" s="13" t="e">
        <v>#N/A</v>
      </c>
      <c r="K1204" s="13" t="e">
        <v>#N/A</v>
      </c>
      <c r="L1204" s="14" t="e">
        <v>#N/A</v>
      </c>
      <c r="M1204" s="14" t="e">
        <v>#N/A</v>
      </c>
    </row>
    <row r="1205" spans="5:13">
      <c r="E1205" s="13" t="e">
        <v>#N/A</v>
      </c>
      <c r="F1205" s="13" t="e">
        <v>#N/A</v>
      </c>
      <c r="G1205" s="14" t="e">
        <v>#N/A</v>
      </c>
      <c r="H1205" s="14" t="e">
        <v>#N/A</v>
      </c>
      <c r="J1205" s="13" t="e">
        <v>#N/A</v>
      </c>
      <c r="K1205" s="13" t="e">
        <v>#N/A</v>
      </c>
      <c r="L1205" s="14" t="e">
        <v>#N/A</v>
      </c>
      <c r="M1205" s="14" t="e">
        <v>#N/A</v>
      </c>
    </row>
    <row r="1206" spans="5:13">
      <c r="E1206" s="13" t="e">
        <v>#N/A</v>
      </c>
      <c r="F1206" s="13" t="e">
        <v>#N/A</v>
      </c>
      <c r="G1206" s="14" t="e">
        <v>#N/A</v>
      </c>
      <c r="H1206" s="14" t="e">
        <v>#N/A</v>
      </c>
      <c r="J1206" s="13" t="e">
        <v>#N/A</v>
      </c>
      <c r="K1206" s="13" t="e">
        <v>#N/A</v>
      </c>
      <c r="L1206" s="14" t="e">
        <v>#N/A</v>
      </c>
      <c r="M1206" s="14" t="e">
        <v>#N/A</v>
      </c>
    </row>
    <row r="1207" spans="5:13">
      <c r="E1207" s="13" t="e">
        <v>#N/A</v>
      </c>
      <c r="F1207" s="13" t="e">
        <v>#N/A</v>
      </c>
      <c r="G1207" s="14" t="e">
        <v>#N/A</v>
      </c>
      <c r="H1207" s="14" t="e">
        <v>#N/A</v>
      </c>
      <c r="J1207" s="13" t="e">
        <v>#N/A</v>
      </c>
      <c r="K1207" s="13" t="e">
        <v>#N/A</v>
      </c>
      <c r="L1207" s="14" t="e">
        <v>#N/A</v>
      </c>
      <c r="M1207" s="14" t="e">
        <v>#N/A</v>
      </c>
    </row>
    <row r="1208" spans="5:13">
      <c r="E1208" s="13" t="e">
        <v>#N/A</v>
      </c>
      <c r="F1208" s="13" t="e">
        <v>#N/A</v>
      </c>
      <c r="G1208" s="14" t="e">
        <v>#N/A</v>
      </c>
      <c r="H1208" s="14" t="e">
        <v>#N/A</v>
      </c>
      <c r="J1208" s="13" t="e">
        <v>#N/A</v>
      </c>
      <c r="K1208" s="13" t="e">
        <v>#N/A</v>
      </c>
      <c r="L1208" s="14" t="e">
        <v>#N/A</v>
      </c>
      <c r="M1208" s="14" t="e">
        <v>#N/A</v>
      </c>
    </row>
    <row r="1209" spans="5:13">
      <c r="E1209" s="13" t="e">
        <v>#N/A</v>
      </c>
      <c r="F1209" s="13" t="e">
        <v>#N/A</v>
      </c>
      <c r="G1209" s="14" t="e">
        <v>#N/A</v>
      </c>
      <c r="H1209" s="14" t="e">
        <v>#N/A</v>
      </c>
      <c r="J1209" s="13" t="e">
        <v>#N/A</v>
      </c>
      <c r="K1209" s="13" t="e">
        <v>#N/A</v>
      </c>
      <c r="L1209" s="14" t="e">
        <v>#N/A</v>
      </c>
      <c r="M1209" s="14" t="e">
        <v>#N/A</v>
      </c>
    </row>
    <row r="1210" spans="5:13">
      <c r="E1210" s="13" t="e">
        <v>#N/A</v>
      </c>
      <c r="F1210" s="13" t="e">
        <v>#N/A</v>
      </c>
      <c r="G1210" s="14" t="e">
        <v>#N/A</v>
      </c>
      <c r="H1210" s="14" t="e">
        <v>#N/A</v>
      </c>
      <c r="J1210" s="13" t="e">
        <v>#N/A</v>
      </c>
      <c r="K1210" s="13" t="e">
        <v>#N/A</v>
      </c>
      <c r="L1210" s="14" t="e">
        <v>#N/A</v>
      </c>
      <c r="M1210" s="14" t="e">
        <v>#N/A</v>
      </c>
    </row>
    <row r="1211" spans="5:13">
      <c r="E1211" s="13" t="e">
        <v>#N/A</v>
      </c>
      <c r="F1211" s="13" t="e">
        <v>#N/A</v>
      </c>
      <c r="G1211" s="14" t="e">
        <v>#N/A</v>
      </c>
      <c r="H1211" s="14" t="e">
        <v>#N/A</v>
      </c>
      <c r="J1211" s="13" t="e">
        <v>#N/A</v>
      </c>
      <c r="K1211" s="13" t="e">
        <v>#N/A</v>
      </c>
      <c r="L1211" s="14" t="e">
        <v>#N/A</v>
      </c>
      <c r="M1211" s="14" t="e">
        <v>#N/A</v>
      </c>
    </row>
    <row r="1212" spans="5:13">
      <c r="E1212" s="13" t="e">
        <v>#N/A</v>
      </c>
      <c r="F1212" s="13" t="e">
        <v>#N/A</v>
      </c>
      <c r="G1212" s="14" t="e">
        <v>#N/A</v>
      </c>
      <c r="H1212" s="14" t="e">
        <v>#N/A</v>
      </c>
      <c r="J1212" s="13" t="e">
        <v>#N/A</v>
      </c>
      <c r="K1212" s="13" t="e">
        <v>#N/A</v>
      </c>
      <c r="L1212" s="14" t="e">
        <v>#N/A</v>
      </c>
      <c r="M1212" s="14" t="e">
        <v>#N/A</v>
      </c>
    </row>
    <row r="1213" spans="5:13">
      <c r="E1213" s="13" t="e">
        <v>#N/A</v>
      </c>
      <c r="F1213" s="13" t="e">
        <v>#N/A</v>
      </c>
      <c r="G1213" s="14" t="e">
        <v>#N/A</v>
      </c>
      <c r="H1213" s="14" t="e">
        <v>#N/A</v>
      </c>
      <c r="J1213" s="13" t="e">
        <v>#N/A</v>
      </c>
      <c r="K1213" s="13" t="e">
        <v>#N/A</v>
      </c>
      <c r="L1213" s="14" t="e">
        <v>#N/A</v>
      </c>
      <c r="M1213" s="14" t="e">
        <v>#N/A</v>
      </c>
    </row>
    <row r="1214" spans="5:13">
      <c r="E1214" s="13" t="e">
        <v>#N/A</v>
      </c>
      <c r="F1214" s="13" t="e">
        <v>#N/A</v>
      </c>
      <c r="G1214" s="14" t="e">
        <v>#N/A</v>
      </c>
      <c r="H1214" s="14" t="e">
        <v>#N/A</v>
      </c>
      <c r="J1214" s="13" t="e">
        <v>#N/A</v>
      </c>
      <c r="K1214" s="13" t="e">
        <v>#N/A</v>
      </c>
      <c r="L1214" s="14" t="e">
        <v>#N/A</v>
      </c>
      <c r="M1214" s="14" t="e">
        <v>#N/A</v>
      </c>
    </row>
    <row r="1215" spans="5:13">
      <c r="E1215" s="13" t="e">
        <v>#N/A</v>
      </c>
      <c r="F1215" s="13" t="e">
        <v>#N/A</v>
      </c>
      <c r="G1215" s="14" t="e">
        <v>#N/A</v>
      </c>
      <c r="H1215" s="14" t="e">
        <v>#N/A</v>
      </c>
      <c r="J1215" s="13" t="e">
        <v>#N/A</v>
      </c>
      <c r="K1215" s="13" t="e">
        <v>#N/A</v>
      </c>
      <c r="L1215" s="14" t="e">
        <v>#N/A</v>
      </c>
      <c r="M1215" s="14" t="e">
        <v>#N/A</v>
      </c>
    </row>
    <row r="1216" spans="5:13">
      <c r="E1216" s="13" t="e">
        <v>#N/A</v>
      </c>
      <c r="F1216" s="13" t="e">
        <v>#N/A</v>
      </c>
      <c r="G1216" s="14" t="e">
        <v>#N/A</v>
      </c>
      <c r="H1216" s="14" t="e">
        <v>#N/A</v>
      </c>
      <c r="J1216" s="13" t="e">
        <v>#N/A</v>
      </c>
      <c r="K1216" s="13" t="e">
        <v>#N/A</v>
      </c>
      <c r="L1216" s="14" t="e">
        <v>#N/A</v>
      </c>
      <c r="M1216" s="14" t="e">
        <v>#N/A</v>
      </c>
    </row>
    <row r="1217" spans="5:13">
      <c r="E1217" s="13" t="e">
        <v>#N/A</v>
      </c>
      <c r="F1217" s="13" t="e">
        <v>#N/A</v>
      </c>
      <c r="G1217" s="14" t="e">
        <v>#N/A</v>
      </c>
      <c r="H1217" s="14" t="e">
        <v>#N/A</v>
      </c>
      <c r="J1217" s="13" t="e">
        <v>#N/A</v>
      </c>
      <c r="K1217" s="13" t="e">
        <v>#N/A</v>
      </c>
      <c r="L1217" s="14" t="e">
        <v>#N/A</v>
      </c>
      <c r="M1217" s="14" t="e">
        <v>#N/A</v>
      </c>
    </row>
    <row r="1218" spans="5:13">
      <c r="E1218" s="13" t="e">
        <v>#N/A</v>
      </c>
      <c r="F1218" s="13" t="e">
        <v>#N/A</v>
      </c>
      <c r="G1218" s="14" t="e">
        <v>#N/A</v>
      </c>
      <c r="H1218" s="14" t="e">
        <v>#N/A</v>
      </c>
      <c r="J1218" s="13" t="e">
        <v>#N/A</v>
      </c>
      <c r="K1218" s="13" t="e">
        <v>#N/A</v>
      </c>
      <c r="L1218" s="14" t="e">
        <v>#N/A</v>
      </c>
      <c r="M1218" s="14" t="e">
        <v>#N/A</v>
      </c>
    </row>
    <row r="1219" spans="5:13">
      <c r="E1219" s="13" t="e">
        <v>#N/A</v>
      </c>
      <c r="F1219" s="13" t="e">
        <v>#N/A</v>
      </c>
      <c r="G1219" s="14" t="e">
        <v>#N/A</v>
      </c>
      <c r="H1219" s="14" t="e">
        <v>#N/A</v>
      </c>
      <c r="J1219" s="13" t="e">
        <v>#N/A</v>
      </c>
      <c r="K1219" s="13" t="e">
        <v>#N/A</v>
      </c>
      <c r="L1219" s="14" t="e">
        <v>#N/A</v>
      </c>
      <c r="M1219" s="14" t="e">
        <v>#N/A</v>
      </c>
    </row>
    <row r="1220" spans="5:13">
      <c r="E1220" s="13" t="e">
        <v>#N/A</v>
      </c>
      <c r="F1220" s="13" t="e">
        <v>#N/A</v>
      </c>
      <c r="G1220" s="14" t="e">
        <v>#N/A</v>
      </c>
      <c r="H1220" s="14" t="e">
        <v>#N/A</v>
      </c>
      <c r="J1220" s="13" t="e">
        <v>#N/A</v>
      </c>
      <c r="K1220" s="13" t="e">
        <v>#N/A</v>
      </c>
      <c r="L1220" s="14" t="e">
        <v>#N/A</v>
      </c>
      <c r="M1220" s="14" t="e">
        <v>#N/A</v>
      </c>
    </row>
    <row r="1221" spans="5:13">
      <c r="E1221" s="13" t="e">
        <v>#N/A</v>
      </c>
      <c r="F1221" s="13" t="e">
        <v>#N/A</v>
      </c>
      <c r="G1221" s="14" t="e">
        <v>#N/A</v>
      </c>
      <c r="H1221" s="14" t="e">
        <v>#N/A</v>
      </c>
      <c r="J1221" s="13" t="e">
        <v>#N/A</v>
      </c>
      <c r="K1221" s="13" t="e">
        <v>#N/A</v>
      </c>
      <c r="L1221" s="14" t="e">
        <v>#N/A</v>
      </c>
      <c r="M1221" s="14" t="e">
        <v>#N/A</v>
      </c>
    </row>
    <row r="1222" spans="5:13">
      <c r="E1222" s="13" t="e">
        <v>#N/A</v>
      </c>
      <c r="F1222" s="13" t="e">
        <v>#N/A</v>
      </c>
      <c r="G1222" s="14" t="e">
        <v>#N/A</v>
      </c>
      <c r="H1222" s="14" t="e">
        <v>#N/A</v>
      </c>
      <c r="J1222" s="13" t="e">
        <v>#N/A</v>
      </c>
      <c r="K1222" s="13" t="e">
        <v>#N/A</v>
      </c>
      <c r="L1222" s="14" t="e">
        <v>#N/A</v>
      </c>
      <c r="M1222" s="14" t="e">
        <v>#N/A</v>
      </c>
    </row>
    <row r="1223" spans="5:13">
      <c r="E1223" s="13" t="e">
        <v>#N/A</v>
      </c>
      <c r="F1223" s="13" t="e">
        <v>#N/A</v>
      </c>
      <c r="G1223" s="14" t="e">
        <v>#N/A</v>
      </c>
      <c r="H1223" s="14" t="e">
        <v>#N/A</v>
      </c>
      <c r="J1223" s="13" t="e">
        <v>#N/A</v>
      </c>
      <c r="K1223" s="13" t="e">
        <v>#N/A</v>
      </c>
      <c r="L1223" s="14" t="e">
        <v>#N/A</v>
      </c>
      <c r="M1223" s="14" t="e">
        <v>#N/A</v>
      </c>
    </row>
    <row r="1224" spans="5:13">
      <c r="E1224" s="13" t="e">
        <v>#N/A</v>
      </c>
      <c r="F1224" s="13" t="e">
        <v>#N/A</v>
      </c>
      <c r="G1224" s="14" t="e">
        <v>#N/A</v>
      </c>
      <c r="H1224" s="14" t="e">
        <v>#N/A</v>
      </c>
      <c r="J1224" s="13" t="e">
        <v>#N/A</v>
      </c>
      <c r="K1224" s="13" t="e">
        <v>#N/A</v>
      </c>
      <c r="L1224" s="14" t="e">
        <v>#N/A</v>
      </c>
      <c r="M1224" s="14" t="e">
        <v>#N/A</v>
      </c>
    </row>
    <row r="1225" spans="5:13">
      <c r="E1225" s="13" t="e">
        <v>#N/A</v>
      </c>
      <c r="F1225" s="13" t="e">
        <v>#N/A</v>
      </c>
      <c r="G1225" s="14" t="e">
        <v>#N/A</v>
      </c>
      <c r="H1225" s="14" t="e">
        <v>#N/A</v>
      </c>
      <c r="J1225" s="13" t="e">
        <v>#N/A</v>
      </c>
      <c r="K1225" s="13" t="e">
        <v>#N/A</v>
      </c>
      <c r="L1225" s="14" t="e">
        <v>#N/A</v>
      </c>
      <c r="M1225" s="14" t="e">
        <v>#N/A</v>
      </c>
    </row>
    <row r="1226" spans="5:13">
      <c r="E1226" s="13" t="e">
        <v>#N/A</v>
      </c>
      <c r="F1226" s="13" t="e">
        <v>#N/A</v>
      </c>
      <c r="G1226" s="14" t="e">
        <v>#N/A</v>
      </c>
      <c r="H1226" s="14" t="e">
        <v>#N/A</v>
      </c>
      <c r="J1226" s="13" t="e">
        <v>#N/A</v>
      </c>
      <c r="K1226" s="13" t="e">
        <v>#N/A</v>
      </c>
      <c r="L1226" s="14" t="e">
        <v>#N/A</v>
      </c>
      <c r="M1226" s="14" t="e">
        <v>#N/A</v>
      </c>
    </row>
    <row r="1227" spans="5:13">
      <c r="E1227" s="13" t="e">
        <v>#N/A</v>
      </c>
      <c r="F1227" s="13" t="e">
        <v>#N/A</v>
      </c>
      <c r="G1227" s="14" t="e">
        <v>#N/A</v>
      </c>
      <c r="H1227" s="14" t="e">
        <v>#N/A</v>
      </c>
      <c r="J1227" s="13" t="e">
        <v>#N/A</v>
      </c>
      <c r="K1227" s="13" t="e">
        <v>#N/A</v>
      </c>
      <c r="L1227" s="14" t="e">
        <v>#N/A</v>
      </c>
      <c r="M1227" s="14" t="e">
        <v>#N/A</v>
      </c>
    </row>
    <row r="1228" spans="5:13">
      <c r="E1228" s="13" t="e">
        <v>#N/A</v>
      </c>
      <c r="F1228" s="13" t="e">
        <v>#N/A</v>
      </c>
      <c r="G1228" s="14" t="e">
        <v>#N/A</v>
      </c>
      <c r="H1228" s="14" t="e">
        <v>#N/A</v>
      </c>
      <c r="J1228" s="13" t="e">
        <v>#N/A</v>
      </c>
      <c r="K1228" s="13" t="e">
        <v>#N/A</v>
      </c>
      <c r="L1228" s="14" t="e">
        <v>#N/A</v>
      </c>
      <c r="M1228" s="14" t="e">
        <v>#N/A</v>
      </c>
    </row>
    <row r="1229" spans="5:13">
      <c r="E1229" s="13" t="e">
        <v>#N/A</v>
      </c>
      <c r="F1229" s="13" t="e">
        <v>#N/A</v>
      </c>
      <c r="G1229" s="14" t="e">
        <v>#N/A</v>
      </c>
      <c r="H1229" s="14" t="e">
        <v>#N/A</v>
      </c>
      <c r="J1229" s="13" t="e">
        <v>#N/A</v>
      </c>
      <c r="K1229" s="13" t="e">
        <v>#N/A</v>
      </c>
      <c r="L1229" s="14" t="e">
        <v>#N/A</v>
      </c>
      <c r="M1229" s="14" t="e">
        <v>#N/A</v>
      </c>
    </row>
    <row r="1230" spans="5:13">
      <c r="E1230" s="13" t="e">
        <v>#N/A</v>
      </c>
      <c r="F1230" s="13" t="e">
        <v>#N/A</v>
      </c>
      <c r="G1230" s="14" t="e">
        <v>#N/A</v>
      </c>
      <c r="H1230" s="14" t="e">
        <v>#N/A</v>
      </c>
      <c r="J1230" s="13" t="e">
        <v>#N/A</v>
      </c>
      <c r="K1230" s="13" t="e">
        <v>#N/A</v>
      </c>
      <c r="L1230" s="14" t="e">
        <v>#N/A</v>
      </c>
      <c r="M1230" s="14" t="e">
        <v>#N/A</v>
      </c>
    </row>
    <row r="1231" spans="5:13">
      <c r="E1231" s="13" t="e">
        <v>#N/A</v>
      </c>
      <c r="F1231" s="13" t="e">
        <v>#N/A</v>
      </c>
      <c r="G1231" s="14" t="e">
        <v>#N/A</v>
      </c>
      <c r="H1231" s="14" t="e">
        <v>#N/A</v>
      </c>
      <c r="J1231" s="13" t="e">
        <v>#N/A</v>
      </c>
      <c r="K1231" s="13" t="e">
        <v>#N/A</v>
      </c>
      <c r="L1231" s="14" t="e">
        <v>#N/A</v>
      </c>
      <c r="M1231" s="14" t="e">
        <v>#N/A</v>
      </c>
    </row>
    <row r="1232" spans="5:13">
      <c r="E1232" s="13" t="e">
        <v>#N/A</v>
      </c>
      <c r="F1232" s="13" t="e">
        <v>#N/A</v>
      </c>
      <c r="G1232" s="14" t="e">
        <v>#N/A</v>
      </c>
      <c r="H1232" s="14" t="e">
        <v>#N/A</v>
      </c>
      <c r="J1232" s="13" t="e">
        <v>#N/A</v>
      </c>
      <c r="K1232" s="13" t="e">
        <v>#N/A</v>
      </c>
      <c r="L1232" s="14" t="e">
        <v>#N/A</v>
      </c>
      <c r="M1232" s="14" t="e">
        <v>#N/A</v>
      </c>
    </row>
    <row r="1233" spans="5:13">
      <c r="E1233" s="13" t="e">
        <v>#N/A</v>
      </c>
      <c r="F1233" s="13" t="e">
        <v>#N/A</v>
      </c>
      <c r="G1233" s="14" t="e">
        <v>#N/A</v>
      </c>
      <c r="H1233" s="14" t="e">
        <v>#N/A</v>
      </c>
      <c r="J1233" s="13" t="e">
        <v>#N/A</v>
      </c>
      <c r="K1233" s="13" t="e">
        <v>#N/A</v>
      </c>
      <c r="L1233" s="14" t="e">
        <v>#N/A</v>
      </c>
      <c r="M1233" s="14" t="e">
        <v>#N/A</v>
      </c>
    </row>
    <row r="1234" spans="5:13">
      <c r="E1234" s="13" t="e">
        <v>#N/A</v>
      </c>
      <c r="F1234" s="13" t="e">
        <v>#N/A</v>
      </c>
      <c r="G1234" s="14" t="e">
        <v>#N/A</v>
      </c>
      <c r="H1234" s="14" t="e">
        <v>#N/A</v>
      </c>
      <c r="J1234" s="13" t="e">
        <v>#N/A</v>
      </c>
      <c r="K1234" s="13" t="e">
        <v>#N/A</v>
      </c>
      <c r="L1234" s="14" t="e">
        <v>#N/A</v>
      </c>
      <c r="M1234" s="14" t="e">
        <v>#N/A</v>
      </c>
    </row>
    <row r="1235" spans="5:13">
      <c r="E1235" s="13" t="e">
        <v>#N/A</v>
      </c>
      <c r="F1235" s="13" t="e">
        <v>#N/A</v>
      </c>
      <c r="G1235" s="14" t="e">
        <v>#N/A</v>
      </c>
      <c r="H1235" s="14" t="e">
        <v>#N/A</v>
      </c>
      <c r="J1235" s="13" t="e">
        <v>#N/A</v>
      </c>
      <c r="K1235" s="13" t="e">
        <v>#N/A</v>
      </c>
      <c r="L1235" s="14" t="e">
        <v>#N/A</v>
      </c>
      <c r="M1235" s="14" t="e">
        <v>#N/A</v>
      </c>
    </row>
    <row r="1236" spans="5:13">
      <c r="E1236" s="13" t="e">
        <v>#N/A</v>
      </c>
      <c r="F1236" s="13" t="e">
        <v>#N/A</v>
      </c>
      <c r="G1236" s="14" t="e">
        <v>#N/A</v>
      </c>
      <c r="H1236" s="14" t="e">
        <v>#N/A</v>
      </c>
      <c r="J1236" s="13" t="e">
        <v>#N/A</v>
      </c>
      <c r="K1236" s="13" t="e">
        <v>#N/A</v>
      </c>
      <c r="L1236" s="14" t="e">
        <v>#N/A</v>
      </c>
      <c r="M1236" s="14" t="e">
        <v>#N/A</v>
      </c>
    </row>
    <row r="1237" spans="5:13">
      <c r="E1237" s="13" t="e">
        <v>#N/A</v>
      </c>
      <c r="F1237" s="13" t="e">
        <v>#N/A</v>
      </c>
      <c r="G1237" s="14" t="e">
        <v>#N/A</v>
      </c>
      <c r="H1237" s="14" t="e">
        <v>#N/A</v>
      </c>
      <c r="J1237" s="13" t="e">
        <v>#N/A</v>
      </c>
      <c r="K1237" s="13" t="e">
        <v>#N/A</v>
      </c>
      <c r="L1237" s="14" t="e">
        <v>#N/A</v>
      </c>
      <c r="M1237" s="14" t="e">
        <v>#N/A</v>
      </c>
    </row>
    <row r="1238" spans="5:13">
      <c r="E1238" s="13" t="e">
        <v>#N/A</v>
      </c>
      <c r="F1238" s="13" t="e">
        <v>#N/A</v>
      </c>
      <c r="G1238" s="14" t="e">
        <v>#N/A</v>
      </c>
      <c r="H1238" s="14" t="e">
        <v>#N/A</v>
      </c>
      <c r="J1238" s="13" t="e">
        <v>#N/A</v>
      </c>
      <c r="K1238" s="13" t="e">
        <v>#N/A</v>
      </c>
      <c r="L1238" s="14" t="e">
        <v>#N/A</v>
      </c>
      <c r="M1238" s="14" t="e">
        <v>#N/A</v>
      </c>
    </row>
    <row r="1239" spans="5:13">
      <c r="E1239" s="13" t="e">
        <v>#N/A</v>
      </c>
      <c r="F1239" s="13" t="e">
        <v>#N/A</v>
      </c>
      <c r="G1239" s="14" t="e">
        <v>#N/A</v>
      </c>
      <c r="H1239" s="14" t="e">
        <v>#N/A</v>
      </c>
      <c r="J1239" s="13" t="e">
        <v>#N/A</v>
      </c>
      <c r="K1239" s="13" t="e">
        <v>#N/A</v>
      </c>
      <c r="L1239" s="14" t="e">
        <v>#N/A</v>
      </c>
      <c r="M1239" s="14" t="e">
        <v>#N/A</v>
      </c>
    </row>
    <row r="1240" spans="5:13">
      <c r="E1240" s="13" t="e">
        <v>#N/A</v>
      </c>
      <c r="F1240" s="13" t="e">
        <v>#N/A</v>
      </c>
      <c r="G1240" s="14" t="e">
        <v>#N/A</v>
      </c>
      <c r="H1240" s="14" t="e">
        <v>#N/A</v>
      </c>
      <c r="J1240" s="13" t="e">
        <v>#N/A</v>
      </c>
      <c r="K1240" s="13" t="e">
        <v>#N/A</v>
      </c>
      <c r="L1240" s="14" t="e">
        <v>#N/A</v>
      </c>
      <c r="M1240" s="14" t="e">
        <v>#N/A</v>
      </c>
    </row>
    <row r="1241" spans="5:13">
      <c r="E1241" s="13" t="e">
        <v>#N/A</v>
      </c>
      <c r="F1241" s="13" t="e">
        <v>#N/A</v>
      </c>
      <c r="G1241" s="14" t="e">
        <v>#N/A</v>
      </c>
      <c r="H1241" s="14" t="e">
        <v>#N/A</v>
      </c>
      <c r="J1241" s="13" t="e">
        <v>#N/A</v>
      </c>
      <c r="K1241" s="13" t="e">
        <v>#N/A</v>
      </c>
      <c r="L1241" s="14" t="e">
        <v>#N/A</v>
      </c>
      <c r="M1241" s="14" t="e">
        <v>#N/A</v>
      </c>
    </row>
    <row r="1242" spans="5:13">
      <c r="E1242" s="13" t="e">
        <v>#N/A</v>
      </c>
      <c r="F1242" s="13" t="e">
        <v>#N/A</v>
      </c>
      <c r="G1242" s="14" t="e">
        <v>#N/A</v>
      </c>
      <c r="H1242" s="14" t="e">
        <v>#N/A</v>
      </c>
      <c r="J1242" s="13" t="e">
        <v>#N/A</v>
      </c>
      <c r="K1242" s="13" t="e">
        <v>#N/A</v>
      </c>
      <c r="L1242" s="14" t="e">
        <v>#N/A</v>
      </c>
      <c r="M1242" s="14" t="e">
        <v>#N/A</v>
      </c>
    </row>
    <row r="1243" spans="5:13">
      <c r="E1243" s="13" t="e">
        <v>#N/A</v>
      </c>
      <c r="F1243" s="13" t="e">
        <v>#N/A</v>
      </c>
      <c r="G1243" s="14" t="e">
        <v>#N/A</v>
      </c>
      <c r="H1243" s="14" t="e">
        <v>#N/A</v>
      </c>
      <c r="J1243" s="13" t="e">
        <v>#N/A</v>
      </c>
      <c r="K1243" s="13" t="e">
        <v>#N/A</v>
      </c>
      <c r="L1243" s="14" t="e">
        <v>#N/A</v>
      </c>
      <c r="M1243" s="14" t="e">
        <v>#N/A</v>
      </c>
    </row>
    <row r="1244" spans="5:13">
      <c r="E1244" s="13" t="e">
        <v>#N/A</v>
      </c>
      <c r="F1244" s="13" t="e">
        <v>#N/A</v>
      </c>
      <c r="G1244" s="14" t="e">
        <v>#N/A</v>
      </c>
      <c r="H1244" s="14" t="e">
        <v>#N/A</v>
      </c>
      <c r="J1244" s="13" t="e">
        <v>#N/A</v>
      </c>
      <c r="K1244" s="13" t="e">
        <v>#N/A</v>
      </c>
      <c r="L1244" s="14" t="e">
        <v>#N/A</v>
      </c>
      <c r="M1244" s="14" t="e">
        <v>#N/A</v>
      </c>
    </row>
    <row r="1245" spans="5:13">
      <c r="E1245" s="13" t="e">
        <v>#N/A</v>
      </c>
      <c r="F1245" s="13" t="e">
        <v>#N/A</v>
      </c>
      <c r="G1245" s="14" t="e">
        <v>#N/A</v>
      </c>
      <c r="H1245" s="14" t="e">
        <v>#N/A</v>
      </c>
      <c r="J1245" s="13" t="e">
        <v>#N/A</v>
      </c>
      <c r="K1245" s="13" t="e">
        <v>#N/A</v>
      </c>
      <c r="L1245" s="14" t="e">
        <v>#N/A</v>
      </c>
      <c r="M1245" s="14" t="e">
        <v>#N/A</v>
      </c>
    </row>
    <row r="1246" spans="5:13">
      <c r="E1246" s="13" t="e">
        <v>#N/A</v>
      </c>
      <c r="F1246" s="13" t="e">
        <v>#N/A</v>
      </c>
      <c r="G1246" s="14" t="e">
        <v>#N/A</v>
      </c>
      <c r="H1246" s="14" t="e">
        <v>#N/A</v>
      </c>
      <c r="J1246" s="13" t="e">
        <v>#N/A</v>
      </c>
      <c r="K1246" s="13" t="e">
        <v>#N/A</v>
      </c>
      <c r="L1246" s="14" t="e">
        <v>#N/A</v>
      </c>
      <c r="M1246" s="14" t="e">
        <v>#N/A</v>
      </c>
    </row>
    <row r="1247" spans="5:13">
      <c r="E1247" s="13" t="e">
        <v>#N/A</v>
      </c>
      <c r="F1247" s="13" t="e">
        <v>#N/A</v>
      </c>
      <c r="G1247" s="14" t="e">
        <v>#N/A</v>
      </c>
      <c r="H1247" s="14" t="e">
        <v>#N/A</v>
      </c>
      <c r="J1247" s="13" t="e">
        <v>#N/A</v>
      </c>
      <c r="K1247" s="13" t="e">
        <v>#N/A</v>
      </c>
      <c r="L1247" s="14" t="e">
        <v>#N/A</v>
      </c>
      <c r="M1247" s="14" t="e">
        <v>#N/A</v>
      </c>
    </row>
    <row r="1248" spans="5:13">
      <c r="E1248" s="13" t="e">
        <v>#N/A</v>
      </c>
      <c r="F1248" s="13" t="e">
        <v>#N/A</v>
      </c>
      <c r="G1248" s="14" t="e">
        <v>#N/A</v>
      </c>
      <c r="H1248" s="14" t="e">
        <v>#N/A</v>
      </c>
      <c r="J1248" s="13" t="e">
        <v>#N/A</v>
      </c>
      <c r="K1248" s="13" t="e">
        <v>#N/A</v>
      </c>
      <c r="L1248" s="14" t="e">
        <v>#N/A</v>
      </c>
      <c r="M1248" s="14" t="e">
        <v>#N/A</v>
      </c>
    </row>
    <row r="1249" spans="5:13">
      <c r="E1249" s="13" t="e">
        <v>#N/A</v>
      </c>
      <c r="F1249" s="13" t="e">
        <v>#N/A</v>
      </c>
      <c r="G1249" s="14" t="e">
        <v>#N/A</v>
      </c>
      <c r="H1249" s="14" t="e">
        <v>#N/A</v>
      </c>
      <c r="J1249" s="13" t="e">
        <v>#N/A</v>
      </c>
      <c r="K1249" s="13" t="e">
        <v>#N/A</v>
      </c>
      <c r="L1249" s="14" t="e">
        <v>#N/A</v>
      </c>
      <c r="M1249" s="14" t="e">
        <v>#N/A</v>
      </c>
    </row>
    <row r="1250" spans="5:13">
      <c r="E1250" s="13" t="e">
        <v>#N/A</v>
      </c>
      <c r="F1250" s="13" t="e">
        <v>#N/A</v>
      </c>
      <c r="G1250" s="14" t="e">
        <v>#N/A</v>
      </c>
      <c r="H1250" s="14" t="e">
        <v>#N/A</v>
      </c>
      <c r="J1250" s="13" t="e">
        <v>#N/A</v>
      </c>
      <c r="K1250" s="13" t="e">
        <v>#N/A</v>
      </c>
      <c r="L1250" s="14" t="e">
        <v>#N/A</v>
      </c>
      <c r="M1250" s="14" t="e">
        <v>#N/A</v>
      </c>
    </row>
    <row r="1251" spans="5:13">
      <c r="E1251" s="13" t="e">
        <v>#N/A</v>
      </c>
      <c r="F1251" s="13" t="e">
        <v>#N/A</v>
      </c>
      <c r="G1251" s="14" t="e">
        <v>#N/A</v>
      </c>
      <c r="H1251" s="14" t="e">
        <v>#N/A</v>
      </c>
      <c r="J1251" s="13" t="e">
        <v>#N/A</v>
      </c>
      <c r="K1251" s="13" t="e">
        <v>#N/A</v>
      </c>
      <c r="L1251" s="14" t="e">
        <v>#N/A</v>
      </c>
      <c r="M1251" s="14" t="e">
        <v>#N/A</v>
      </c>
    </row>
    <row r="1252" spans="5:13">
      <c r="E1252" s="13" t="e">
        <v>#N/A</v>
      </c>
      <c r="F1252" s="13" t="e">
        <v>#N/A</v>
      </c>
      <c r="G1252" s="14" t="e">
        <v>#N/A</v>
      </c>
      <c r="H1252" s="14" t="e">
        <v>#N/A</v>
      </c>
      <c r="J1252" s="13" t="e">
        <v>#N/A</v>
      </c>
      <c r="K1252" s="13" t="e">
        <v>#N/A</v>
      </c>
      <c r="L1252" s="14" t="e">
        <v>#N/A</v>
      </c>
      <c r="M1252" s="14" t="e">
        <v>#N/A</v>
      </c>
    </row>
    <row r="1253" spans="5:13">
      <c r="E1253" s="13" t="e">
        <v>#N/A</v>
      </c>
      <c r="F1253" s="13" t="e">
        <v>#N/A</v>
      </c>
      <c r="G1253" s="14" t="e">
        <v>#N/A</v>
      </c>
      <c r="H1253" s="14" t="e">
        <v>#N/A</v>
      </c>
      <c r="J1253" s="13" t="e">
        <v>#N/A</v>
      </c>
      <c r="K1253" s="13" t="e">
        <v>#N/A</v>
      </c>
      <c r="L1253" s="14" t="e">
        <v>#N/A</v>
      </c>
      <c r="M1253" s="14" t="e">
        <v>#N/A</v>
      </c>
    </row>
    <row r="1254" spans="5:13">
      <c r="E1254" s="13" t="e">
        <v>#N/A</v>
      </c>
      <c r="F1254" s="13" t="e">
        <v>#N/A</v>
      </c>
      <c r="G1254" s="14" t="e">
        <v>#N/A</v>
      </c>
      <c r="H1254" s="14" t="e">
        <v>#N/A</v>
      </c>
      <c r="J1254" s="13" t="e">
        <v>#N/A</v>
      </c>
      <c r="K1254" s="13" t="e">
        <v>#N/A</v>
      </c>
      <c r="L1254" s="14" t="e">
        <v>#N/A</v>
      </c>
      <c r="M1254" s="14" t="e">
        <v>#N/A</v>
      </c>
    </row>
    <row r="1255" spans="5:13">
      <c r="E1255" s="13" t="e">
        <v>#N/A</v>
      </c>
      <c r="F1255" s="13" t="e">
        <v>#N/A</v>
      </c>
      <c r="G1255" s="14" t="e">
        <v>#N/A</v>
      </c>
      <c r="H1255" s="14" t="e">
        <v>#N/A</v>
      </c>
      <c r="J1255" s="13" t="e">
        <v>#N/A</v>
      </c>
      <c r="K1255" s="13" t="e">
        <v>#N/A</v>
      </c>
      <c r="L1255" s="14" t="e">
        <v>#N/A</v>
      </c>
      <c r="M1255" s="14" t="e">
        <v>#N/A</v>
      </c>
    </row>
    <row r="1256" spans="5:13">
      <c r="E1256" s="13" t="e">
        <v>#N/A</v>
      </c>
      <c r="F1256" s="13" t="e">
        <v>#N/A</v>
      </c>
      <c r="G1256" s="14" t="e">
        <v>#N/A</v>
      </c>
      <c r="H1256" s="14" t="e">
        <v>#N/A</v>
      </c>
      <c r="J1256" s="13" t="e">
        <v>#N/A</v>
      </c>
      <c r="K1256" s="13" t="e">
        <v>#N/A</v>
      </c>
      <c r="L1256" s="14" t="e">
        <v>#N/A</v>
      </c>
      <c r="M1256" s="14" t="e">
        <v>#N/A</v>
      </c>
    </row>
    <row r="1257" spans="5:13">
      <c r="E1257" s="13" t="e">
        <v>#N/A</v>
      </c>
      <c r="F1257" s="13" t="e">
        <v>#N/A</v>
      </c>
      <c r="G1257" s="14" t="e">
        <v>#N/A</v>
      </c>
      <c r="H1257" s="14" t="e">
        <v>#N/A</v>
      </c>
      <c r="J1257" s="13" t="e">
        <v>#N/A</v>
      </c>
      <c r="K1257" s="13" t="e">
        <v>#N/A</v>
      </c>
      <c r="L1257" s="14" t="e">
        <v>#N/A</v>
      </c>
      <c r="M1257" s="14" t="e">
        <v>#N/A</v>
      </c>
    </row>
    <row r="1258" spans="5:13">
      <c r="E1258" s="13" t="e">
        <v>#N/A</v>
      </c>
      <c r="F1258" s="13" t="e">
        <v>#N/A</v>
      </c>
      <c r="G1258" s="14" t="e">
        <v>#N/A</v>
      </c>
      <c r="H1258" s="14" t="e">
        <v>#N/A</v>
      </c>
      <c r="J1258" s="13" t="e">
        <v>#N/A</v>
      </c>
      <c r="K1258" s="13" t="e">
        <v>#N/A</v>
      </c>
      <c r="L1258" s="14" t="e">
        <v>#N/A</v>
      </c>
      <c r="M1258" s="14" t="e">
        <v>#N/A</v>
      </c>
    </row>
    <row r="1259" spans="5:13">
      <c r="E1259" s="13" t="e">
        <v>#N/A</v>
      </c>
      <c r="F1259" s="13" t="e">
        <v>#N/A</v>
      </c>
      <c r="G1259" s="14" t="e">
        <v>#N/A</v>
      </c>
      <c r="H1259" s="14" t="e">
        <v>#N/A</v>
      </c>
      <c r="J1259" s="13" t="e">
        <v>#N/A</v>
      </c>
      <c r="K1259" s="13" t="e">
        <v>#N/A</v>
      </c>
      <c r="L1259" s="14" t="e">
        <v>#N/A</v>
      </c>
      <c r="M1259" s="14" t="e">
        <v>#N/A</v>
      </c>
    </row>
    <row r="1260" spans="5:13">
      <c r="E1260" s="13" t="e">
        <v>#N/A</v>
      </c>
      <c r="F1260" s="13" t="e">
        <v>#N/A</v>
      </c>
      <c r="G1260" s="14" t="e">
        <v>#N/A</v>
      </c>
      <c r="H1260" s="14" t="e">
        <v>#N/A</v>
      </c>
      <c r="J1260" s="13" t="e">
        <v>#N/A</v>
      </c>
      <c r="K1260" s="13" t="e">
        <v>#N/A</v>
      </c>
      <c r="L1260" s="14" t="e">
        <v>#N/A</v>
      </c>
      <c r="M1260" s="14" t="e">
        <v>#N/A</v>
      </c>
    </row>
    <row r="1261" spans="5:13">
      <c r="E1261" s="13" t="e">
        <v>#N/A</v>
      </c>
      <c r="F1261" s="13" t="e">
        <v>#N/A</v>
      </c>
      <c r="G1261" s="14" t="e">
        <v>#N/A</v>
      </c>
      <c r="H1261" s="14" t="e">
        <v>#N/A</v>
      </c>
      <c r="J1261" s="13" t="e">
        <v>#N/A</v>
      </c>
      <c r="K1261" s="13" t="e">
        <v>#N/A</v>
      </c>
      <c r="L1261" s="14" t="e">
        <v>#N/A</v>
      </c>
      <c r="M1261" s="14" t="e">
        <v>#N/A</v>
      </c>
    </row>
    <row r="1262" spans="5:13">
      <c r="E1262" s="13" t="e">
        <v>#N/A</v>
      </c>
      <c r="F1262" s="13" t="e">
        <v>#N/A</v>
      </c>
      <c r="G1262" s="14" t="e">
        <v>#N/A</v>
      </c>
      <c r="H1262" s="14" t="e">
        <v>#N/A</v>
      </c>
      <c r="J1262" s="13" t="e">
        <v>#N/A</v>
      </c>
      <c r="K1262" s="13" t="e">
        <v>#N/A</v>
      </c>
      <c r="L1262" s="14" t="e">
        <v>#N/A</v>
      </c>
      <c r="M1262" s="14" t="e">
        <v>#N/A</v>
      </c>
    </row>
    <row r="1263" spans="5:13">
      <c r="E1263" s="13" t="e">
        <v>#N/A</v>
      </c>
      <c r="F1263" s="13" t="e">
        <v>#N/A</v>
      </c>
      <c r="G1263" s="14" t="e">
        <v>#N/A</v>
      </c>
      <c r="H1263" s="14" t="e">
        <v>#N/A</v>
      </c>
      <c r="J1263" s="13" t="e">
        <v>#N/A</v>
      </c>
      <c r="K1263" s="13" t="e">
        <v>#N/A</v>
      </c>
      <c r="L1263" s="14" t="e">
        <v>#N/A</v>
      </c>
      <c r="M1263" s="14" t="e">
        <v>#N/A</v>
      </c>
    </row>
    <row r="1264" spans="5:13">
      <c r="E1264" s="13" t="e">
        <v>#N/A</v>
      </c>
      <c r="F1264" s="13" t="e">
        <v>#N/A</v>
      </c>
      <c r="G1264" s="14" t="e">
        <v>#N/A</v>
      </c>
      <c r="H1264" s="14" t="e">
        <v>#N/A</v>
      </c>
      <c r="J1264" s="13" t="e">
        <v>#N/A</v>
      </c>
      <c r="K1264" s="13" t="e">
        <v>#N/A</v>
      </c>
      <c r="L1264" s="14" t="e">
        <v>#N/A</v>
      </c>
      <c r="M1264" s="14" t="e">
        <v>#N/A</v>
      </c>
    </row>
    <row r="1265" spans="5:13">
      <c r="E1265" s="13" t="e">
        <v>#N/A</v>
      </c>
      <c r="F1265" s="13" t="e">
        <v>#N/A</v>
      </c>
      <c r="G1265" s="14" t="e">
        <v>#N/A</v>
      </c>
      <c r="H1265" s="14" t="e">
        <v>#N/A</v>
      </c>
      <c r="J1265" s="13" t="e">
        <v>#N/A</v>
      </c>
      <c r="K1265" s="13" t="e">
        <v>#N/A</v>
      </c>
      <c r="L1265" s="14" t="e">
        <v>#N/A</v>
      </c>
      <c r="M1265" s="14" t="e">
        <v>#N/A</v>
      </c>
    </row>
    <row r="1266" spans="5:13">
      <c r="E1266" s="13" t="e">
        <v>#N/A</v>
      </c>
      <c r="F1266" s="13" t="e">
        <v>#N/A</v>
      </c>
      <c r="G1266" s="14" t="e">
        <v>#N/A</v>
      </c>
      <c r="H1266" s="14" t="e">
        <v>#N/A</v>
      </c>
      <c r="J1266" s="13" t="e">
        <v>#N/A</v>
      </c>
      <c r="K1266" s="13" t="e">
        <v>#N/A</v>
      </c>
      <c r="L1266" s="14" t="e">
        <v>#N/A</v>
      </c>
      <c r="M1266" s="14" t="e">
        <v>#N/A</v>
      </c>
    </row>
    <row r="1267" spans="5:13">
      <c r="E1267" s="13" t="e">
        <v>#N/A</v>
      </c>
      <c r="F1267" s="13" t="e">
        <v>#N/A</v>
      </c>
      <c r="G1267" s="14" t="e">
        <v>#N/A</v>
      </c>
      <c r="H1267" s="14" t="e">
        <v>#N/A</v>
      </c>
      <c r="J1267" s="13" t="e">
        <v>#N/A</v>
      </c>
      <c r="K1267" s="13" t="e">
        <v>#N/A</v>
      </c>
      <c r="L1267" s="14" t="e">
        <v>#N/A</v>
      </c>
      <c r="M1267" s="14" t="e">
        <v>#N/A</v>
      </c>
    </row>
    <row r="1268" spans="5:13">
      <c r="E1268" s="13" t="e">
        <v>#N/A</v>
      </c>
      <c r="F1268" s="13" t="e">
        <v>#N/A</v>
      </c>
      <c r="G1268" s="14" t="e">
        <v>#N/A</v>
      </c>
      <c r="H1268" s="14" t="e">
        <v>#N/A</v>
      </c>
      <c r="J1268" s="13" t="e">
        <v>#N/A</v>
      </c>
      <c r="K1268" s="13" t="e">
        <v>#N/A</v>
      </c>
      <c r="L1268" s="14" t="e">
        <v>#N/A</v>
      </c>
      <c r="M1268" s="14" t="e">
        <v>#N/A</v>
      </c>
    </row>
    <row r="1269" spans="5:13">
      <c r="E1269" s="13" t="e">
        <v>#N/A</v>
      </c>
      <c r="F1269" s="13" t="e">
        <v>#N/A</v>
      </c>
      <c r="G1269" s="14" t="e">
        <v>#N/A</v>
      </c>
      <c r="H1269" s="14" t="e">
        <v>#N/A</v>
      </c>
      <c r="J1269" s="13" t="e">
        <v>#N/A</v>
      </c>
      <c r="K1269" s="13" t="e">
        <v>#N/A</v>
      </c>
      <c r="L1269" s="14" t="e">
        <v>#N/A</v>
      </c>
      <c r="M1269" s="14" t="e">
        <v>#N/A</v>
      </c>
    </row>
    <row r="1270" spans="5:13">
      <c r="E1270" s="13" t="e">
        <v>#N/A</v>
      </c>
      <c r="F1270" s="13" t="e">
        <v>#N/A</v>
      </c>
      <c r="G1270" s="14" t="e">
        <v>#N/A</v>
      </c>
      <c r="H1270" s="14" t="e">
        <v>#N/A</v>
      </c>
      <c r="J1270" s="13" t="e">
        <v>#N/A</v>
      </c>
      <c r="K1270" s="13" t="e">
        <v>#N/A</v>
      </c>
      <c r="L1270" s="14" t="e">
        <v>#N/A</v>
      </c>
      <c r="M1270" s="14" t="e">
        <v>#N/A</v>
      </c>
    </row>
    <row r="1271" spans="5:13">
      <c r="E1271" s="13" t="e">
        <v>#N/A</v>
      </c>
      <c r="F1271" s="13" t="e">
        <v>#N/A</v>
      </c>
      <c r="G1271" s="14" t="e">
        <v>#N/A</v>
      </c>
      <c r="H1271" s="14" t="e">
        <v>#N/A</v>
      </c>
      <c r="J1271" s="13" t="e">
        <v>#N/A</v>
      </c>
      <c r="K1271" s="13" t="e">
        <v>#N/A</v>
      </c>
      <c r="L1271" s="14" t="e">
        <v>#N/A</v>
      </c>
      <c r="M1271" s="14" t="e">
        <v>#N/A</v>
      </c>
    </row>
    <row r="1272" spans="5:13">
      <c r="E1272" s="13" t="e">
        <v>#N/A</v>
      </c>
      <c r="F1272" s="13" t="e">
        <v>#N/A</v>
      </c>
      <c r="G1272" s="14" t="e">
        <v>#N/A</v>
      </c>
      <c r="H1272" s="14" t="e">
        <v>#N/A</v>
      </c>
      <c r="J1272" s="13" t="e">
        <v>#N/A</v>
      </c>
      <c r="K1272" s="13" t="e">
        <v>#N/A</v>
      </c>
      <c r="L1272" s="14" t="e">
        <v>#N/A</v>
      </c>
      <c r="M1272" s="14" t="e">
        <v>#N/A</v>
      </c>
    </row>
    <row r="1273" spans="5:13">
      <c r="E1273" s="13" t="e">
        <v>#N/A</v>
      </c>
      <c r="F1273" s="13" t="e">
        <v>#N/A</v>
      </c>
      <c r="G1273" s="14" t="e">
        <v>#N/A</v>
      </c>
      <c r="H1273" s="14" t="e">
        <v>#N/A</v>
      </c>
      <c r="J1273" s="13" t="e">
        <v>#N/A</v>
      </c>
      <c r="K1273" s="13" t="e">
        <v>#N/A</v>
      </c>
      <c r="L1273" s="14" t="e">
        <v>#N/A</v>
      </c>
      <c r="M1273" s="14" t="e">
        <v>#N/A</v>
      </c>
    </row>
    <row r="1274" spans="5:13">
      <c r="E1274" s="13" t="e">
        <v>#N/A</v>
      </c>
      <c r="F1274" s="13" t="e">
        <v>#N/A</v>
      </c>
      <c r="G1274" s="14" t="e">
        <v>#N/A</v>
      </c>
      <c r="H1274" s="14" t="e">
        <v>#N/A</v>
      </c>
      <c r="J1274" s="13" t="e">
        <v>#N/A</v>
      </c>
      <c r="K1274" s="13" t="e">
        <v>#N/A</v>
      </c>
      <c r="L1274" s="14" t="e">
        <v>#N/A</v>
      </c>
      <c r="M1274" s="14" t="e">
        <v>#N/A</v>
      </c>
    </row>
    <row r="1275" spans="5:13">
      <c r="E1275" s="13" t="e">
        <v>#N/A</v>
      </c>
      <c r="F1275" s="13" t="e">
        <v>#N/A</v>
      </c>
      <c r="G1275" s="14" t="e">
        <v>#N/A</v>
      </c>
      <c r="H1275" s="14" t="e">
        <v>#N/A</v>
      </c>
      <c r="J1275" s="13" t="e">
        <v>#N/A</v>
      </c>
      <c r="K1275" s="13" t="e">
        <v>#N/A</v>
      </c>
      <c r="L1275" s="14" t="e">
        <v>#N/A</v>
      </c>
      <c r="M1275" s="14" t="e">
        <v>#N/A</v>
      </c>
    </row>
    <row r="1276" spans="5:13">
      <c r="E1276" s="13" t="e">
        <v>#N/A</v>
      </c>
      <c r="F1276" s="13" t="e">
        <v>#N/A</v>
      </c>
      <c r="G1276" s="14" t="e">
        <v>#N/A</v>
      </c>
      <c r="H1276" s="14" t="e">
        <v>#N/A</v>
      </c>
      <c r="J1276" s="13" t="e">
        <v>#N/A</v>
      </c>
      <c r="K1276" s="13" t="e">
        <v>#N/A</v>
      </c>
      <c r="L1276" s="14" t="e">
        <v>#N/A</v>
      </c>
      <c r="M1276" s="14" t="e">
        <v>#N/A</v>
      </c>
    </row>
    <row r="1277" spans="5:13">
      <c r="E1277" s="13" t="e">
        <v>#N/A</v>
      </c>
      <c r="F1277" s="13" t="e">
        <v>#N/A</v>
      </c>
      <c r="G1277" s="14" t="e">
        <v>#N/A</v>
      </c>
      <c r="H1277" s="14" t="e">
        <v>#N/A</v>
      </c>
      <c r="J1277" s="13" t="e">
        <v>#N/A</v>
      </c>
      <c r="K1277" s="13" t="e">
        <v>#N/A</v>
      </c>
      <c r="L1277" s="14" t="e">
        <v>#N/A</v>
      </c>
      <c r="M1277" s="14" t="e">
        <v>#N/A</v>
      </c>
    </row>
    <row r="1278" spans="5:13">
      <c r="E1278" s="13" t="e">
        <v>#N/A</v>
      </c>
      <c r="F1278" s="13" t="e">
        <v>#N/A</v>
      </c>
      <c r="G1278" s="14" t="e">
        <v>#N/A</v>
      </c>
      <c r="H1278" s="14" t="e">
        <v>#N/A</v>
      </c>
      <c r="J1278" s="13" t="e">
        <v>#N/A</v>
      </c>
      <c r="K1278" s="13" t="e">
        <v>#N/A</v>
      </c>
      <c r="L1278" s="14" t="e">
        <v>#N/A</v>
      </c>
      <c r="M1278" s="14" t="e">
        <v>#N/A</v>
      </c>
    </row>
    <row r="1279" spans="5:13">
      <c r="E1279" s="13" t="e">
        <v>#N/A</v>
      </c>
      <c r="F1279" s="13" t="e">
        <v>#N/A</v>
      </c>
      <c r="G1279" s="14" t="e">
        <v>#N/A</v>
      </c>
      <c r="H1279" s="14" t="e">
        <v>#N/A</v>
      </c>
      <c r="J1279" s="13" t="e">
        <v>#N/A</v>
      </c>
      <c r="K1279" s="13" t="e">
        <v>#N/A</v>
      </c>
      <c r="L1279" s="14" t="e">
        <v>#N/A</v>
      </c>
      <c r="M1279" s="14" t="e">
        <v>#N/A</v>
      </c>
    </row>
    <row r="1280" spans="5:13">
      <c r="E1280" s="13" t="e">
        <v>#N/A</v>
      </c>
      <c r="F1280" s="13" t="e">
        <v>#N/A</v>
      </c>
      <c r="G1280" s="14" t="e">
        <v>#N/A</v>
      </c>
      <c r="H1280" s="14" t="e">
        <v>#N/A</v>
      </c>
      <c r="J1280" s="13" t="e">
        <v>#N/A</v>
      </c>
      <c r="K1280" s="13" t="e">
        <v>#N/A</v>
      </c>
      <c r="L1280" s="14" t="e">
        <v>#N/A</v>
      </c>
      <c r="M1280" s="14" t="e">
        <v>#N/A</v>
      </c>
    </row>
    <row r="1281" spans="5:13">
      <c r="E1281" s="13" t="e">
        <v>#N/A</v>
      </c>
      <c r="F1281" s="13" t="e">
        <v>#N/A</v>
      </c>
      <c r="G1281" s="14" t="e">
        <v>#N/A</v>
      </c>
      <c r="H1281" s="14" t="e">
        <v>#N/A</v>
      </c>
      <c r="J1281" s="13" t="e">
        <v>#N/A</v>
      </c>
      <c r="K1281" s="13" t="e">
        <v>#N/A</v>
      </c>
      <c r="L1281" s="14" t="e">
        <v>#N/A</v>
      </c>
      <c r="M1281" s="14" t="e">
        <v>#N/A</v>
      </c>
    </row>
    <row r="1282" spans="5:13">
      <c r="E1282" s="13" t="e">
        <v>#N/A</v>
      </c>
      <c r="F1282" s="13" t="e">
        <v>#N/A</v>
      </c>
      <c r="G1282" s="14" t="e">
        <v>#N/A</v>
      </c>
      <c r="H1282" s="14" t="e">
        <v>#N/A</v>
      </c>
      <c r="J1282" s="13" t="e">
        <v>#N/A</v>
      </c>
      <c r="K1282" s="13" t="e">
        <v>#N/A</v>
      </c>
      <c r="L1282" s="14" t="e">
        <v>#N/A</v>
      </c>
      <c r="M1282" s="14" t="e">
        <v>#N/A</v>
      </c>
    </row>
    <row r="1283" spans="5:13">
      <c r="E1283" s="13" t="e">
        <v>#N/A</v>
      </c>
      <c r="F1283" s="13" t="e">
        <v>#N/A</v>
      </c>
      <c r="G1283" s="14" t="e">
        <v>#N/A</v>
      </c>
      <c r="H1283" s="14" t="e">
        <v>#N/A</v>
      </c>
      <c r="J1283" s="13" t="e">
        <v>#N/A</v>
      </c>
      <c r="K1283" s="13" t="e">
        <v>#N/A</v>
      </c>
      <c r="L1283" s="14" t="e">
        <v>#N/A</v>
      </c>
      <c r="M1283" s="14" t="e">
        <v>#N/A</v>
      </c>
    </row>
    <row r="1284" spans="5:13">
      <c r="E1284" s="13" t="e">
        <v>#N/A</v>
      </c>
      <c r="F1284" s="13" t="e">
        <v>#N/A</v>
      </c>
      <c r="G1284" s="14" t="e">
        <v>#N/A</v>
      </c>
      <c r="H1284" s="14" t="e">
        <v>#N/A</v>
      </c>
      <c r="J1284" s="13" t="e">
        <v>#N/A</v>
      </c>
      <c r="K1284" s="13" t="e">
        <v>#N/A</v>
      </c>
      <c r="L1284" s="14" t="e">
        <v>#N/A</v>
      </c>
      <c r="M1284" s="14" t="e">
        <v>#N/A</v>
      </c>
    </row>
    <row r="1285" spans="5:13">
      <c r="E1285" s="13" t="e">
        <v>#N/A</v>
      </c>
      <c r="F1285" s="13" t="e">
        <v>#N/A</v>
      </c>
      <c r="G1285" s="14" t="e">
        <v>#N/A</v>
      </c>
      <c r="H1285" s="14" t="e">
        <v>#N/A</v>
      </c>
      <c r="J1285" s="13" t="e">
        <v>#N/A</v>
      </c>
      <c r="K1285" s="13" t="e">
        <v>#N/A</v>
      </c>
      <c r="L1285" s="14" t="e">
        <v>#N/A</v>
      </c>
      <c r="M1285" s="14" t="e">
        <v>#N/A</v>
      </c>
    </row>
    <row r="1286" spans="5:13">
      <c r="E1286" s="13" t="e">
        <v>#N/A</v>
      </c>
      <c r="F1286" s="13" t="e">
        <v>#N/A</v>
      </c>
      <c r="G1286" s="14" t="e">
        <v>#N/A</v>
      </c>
      <c r="H1286" s="14" t="e">
        <v>#N/A</v>
      </c>
      <c r="J1286" s="13" t="e">
        <v>#N/A</v>
      </c>
      <c r="K1286" s="13" t="e">
        <v>#N/A</v>
      </c>
      <c r="L1286" s="14" t="e">
        <v>#N/A</v>
      </c>
      <c r="M1286" s="14" t="e">
        <v>#N/A</v>
      </c>
    </row>
    <row r="1287" spans="5:13">
      <c r="E1287" s="13" t="e">
        <v>#N/A</v>
      </c>
      <c r="F1287" s="13" t="e">
        <v>#N/A</v>
      </c>
      <c r="G1287" s="14" t="e">
        <v>#N/A</v>
      </c>
      <c r="H1287" s="14" t="e">
        <v>#N/A</v>
      </c>
      <c r="J1287" s="13" t="e">
        <v>#N/A</v>
      </c>
      <c r="K1287" s="13" t="e">
        <v>#N/A</v>
      </c>
      <c r="L1287" s="14" t="e">
        <v>#N/A</v>
      </c>
      <c r="M1287" s="14" t="e">
        <v>#N/A</v>
      </c>
    </row>
    <row r="1288" spans="5:13">
      <c r="E1288" s="13" t="e">
        <v>#N/A</v>
      </c>
      <c r="F1288" s="13" t="e">
        <v>#N/A</v>
      </c>
      <c r="G1288" s="14" t="e">
        <v>#N/A</v>
      </c>
      <c r="H1288" s="14" t="e">
        <v>#N/A</v>
      </c>
      <c r="J1288" s="13" t="e">
        <v>#N/A</v>
      </c>
      <c r="K1288" s="13" t="e">
        <v>#N/A</v>
      </c>
      <c r="L1288" s="14" t="e">
        <v>#N/A</v>
      </c>
      <c r="M1288" s="14" t="e">
        <v>#N/A</v>
      </c>
    </row>
    <row r="1289" spans="5:13">
      <c r="E1289" s="13" t="e">
        <v>#N/A</v>
      </c>
      <c r="F1289" s="13" t="e">
        <v>#N/A</v>
      </c>
      <c r="G1289" s="14" t="e">
        <v>#N/A</v>
      </c>
      <c r="H1289" s="14" t="e">
        <v>#N/A</v>
      </c>
      <c r="J1289" s="13" t="e">
        <v>#N/A</v>
      </c>
      <c r="K1289" s="13" t="e">
        <v>#N/A</v>
      </c>
      <c r="L1289" s="14" t="e">
        <v>#N/A</v>
      </c>
      <c r="M1289" s="14" t="e">
        <v>#N/A</v>
      </c>
    </row>
    <row r="1290" spans="5:13">
      <c r="E1290" s="13" t="e">
        <v>#N/A</v>
      </c>
      <c r="F1290" s="13" t="e">
        <v>#N/A</v>
      </c>
      <c r="G1290" s="14" t="e">
        <v>#N/A</v>
      </c>
      <c r="H1290" s="14" t="e">
        <v>#N/A</v>
      </c>
      <c r="J1290" s="13" t="e">
        <v>#N/A</v>
      </c>
      <c r="K1290" s="13" t="e">
        <v>#N/A</v>
      </c>
      <c r="L1290" s="14" t="e">
        <v>#N/A</v>
      </c>
      <c r="M1290" s="14" t="e">
        <v>#N/A</v>
      </c>
    </row>
    <row r="1291" spans="5:13">
      <c r="E1291" s="13" t="e">
        <v>#N/A</v>
      </c>
      <c r="F1291" s="13" t="e">
        <v>#N/A</v>
      </c>
      <c r="G1291" s="14" t="e">
        <v>#N/A</v>
      </c>
      <c r="H1291" s="14" t="e">
        <v>#N/A</v>
      </c>
      <c r="J1291" s="13" t="e">
        <v>#N/A</v>
      </c>
      <c r="K1291" s="13" t="e">
        <v>#N/A</v>
      </c>
      <c r="L1291" s="14" t="e">
        <v>#N/A</v>
      </c>
      <c r="M1291" s="14" t="e">
        <v>#N/A</v>
      </c>
    </row>
    <row r="1292" spans="5:13">
      <c r="E1292" s="13" t="e">
        <v>#N/A</v>
      </c>
      <c r="F1292" s="13" t="e">
        <v>#N/A</v>
      </c>
      <c r="G1292" s="14" t="e">
        <v>#N/A</v>
      </c>
      <c r="H1292" s="14" t="e">
        <v>#N/A</v>
      </c>
      <c r="J1292" s="13" t="e">
        <v>#N/A</v>
      </c>
      <c r="K1292" s="13" t="e">
        <v>#N/A</v>
      </c>
      <c r="L1292" s="14" t="e">
        <v>#N/A</v>
      </c>
      <c r="M1292" s="14" t="e">
        <v>#N/A</v>
      </c>
    </row>
    <row r="1293" spans="5:13">
      <c r="E1293" s="13" t="e">
        <v>#N/A</v>
      </c>
      <c r="F1293" s="13" t="e">
        <v>#N/A</v>
      </c>
      <c r="G1293" s="14" t="e">
        <v>#N/A</v>
      </c>
      <c r="H1293" s="14" t="e">
        <v>#N/A</v>
      </c>
      <c r="J1293" s="13" t="e">
        <v>#N/A</v>
      </c>
      <c r="K1293" s="13" t="e">
        <v>#N/A</v>
      </c>
      <c r="L1293" s="14" t="e">
        <v>#N/A</v>
      </c>
      <c r="M1293" s="14" t="e">
        <v>#N/A</v>
      </c>
    </row>
    <row r="1294" spans="5:13">
      <c r="E1294" s="13" t="e">
        <v>#N/A</v>
      </c>
      <c r="F1294" s="13" t="e">
        <v>#N/A</v>
      </c>
      <c r="G1294" s="14" t="e">
        <v>#N/A</v>
      </c>
      <c r="H1294" s="14" t="e">
        <v>#N/A</v>
      </c>
      <c r="J1294" s="13" t="e">
        <v>#N/A</v>
      </c>
      <c r="K1294" s="13" t="e">
        <v>#N/A</v>
      </c>
      <c r="L1294" s="14" t="e">
        <v>#N/A</v>
      </c>
      <c r="M1294" s="14" t="e">
        <v>#N/A</v>
      </c>
    </row>
    <row r="1295" spans="5:13">
      <c r="E1295" s="13" t="e">
        <v>#N/A</v>
      </c>
      <c r="F1295" s="13" t="e">
        <v>#N/A</v>
      </c>
      <c r="G1295" s="14" t="e">
        <v>#N/A</v>
      </c>
      <c r="H1295" s="14" t="e">
        <v>#N/A</v>
      </c>
      <c r="J1295" s="13" t="e">
        <v>#N/A</v>
      </c>
      <c r="K1295" s="13" t="e">
        <v>#N/A</v>
      </c>
      <c r="L1295" s="14" t="e">
        <v>#N/A</v>
      </c>
      <c r="M1295" s="14" t="e">
        <v>#N/A</v>
      </c>
    </row>
    <row r="1296" spans="5:13">
      <c r="E1296" s="13" t="e">
        <v>#N/A</v>
      </c>
      <c r="F1296" s="13" t="e">
        <v>#N/A</v>
      </c>
      <c r="G1296" s="14" t="e">
        <v>#N/A</v>
      </c>
      <c r="H1296" s="14" t="e">
        <v>#N/A</v>
      </c>
      <c r="J1296" s="13" t="e">
        <v>#N/A</v>
      </c>
      <c r="K1296" s="13" t="e">
        <v>#N/A</v>
      </c>
      <c r="L1296" s="14" t="e">
        <v>#N/A</v>
      </c>
      <c r="M1296" s="14" t="e">
        <v>#N/A</v>
      </c>
    </row>
    <row r="1297" spans="5:13">
      <c r="E1297" s="13" t="e">
        <v>#N/A</v>
      </c>
      <c r="F1297" s="13" t="e">
        <v>#N/A</v>
      </c>
      <c r="G1297" s="14" t="e">
        <v>#N/A</v>
      </c>
      <c r="H1297" s="14" t="e">
        <v>#N/A</v>
      </c>
      <c r="J1297" s="13" t="e">
        <v>#N/A</v>
      </c>
      <c r="K1297" s="13" t="e">
        <v>#N/A</v>
      </c>
      <c r="L1297" s="14" t="e">
        <v>#N/A</v>
      </c>
      <c r="M1297" s="14" t="e">
        <v>#N/A</v>
      </c>
    </row>
    <row r="1298" spans="5:13">
      <c r="E1298" s="13" t="e">
        <v>#N/A</v>
      </c>
      <c r="F1298" s="13" t="e">
        <v>#N/A</v>
      </c>
      <c r="G1298" s="14" t="e">
        <v>#N/A</v>
      </c>
      <c r="H1298" s="14" t="e">
        <v>#N/A</v>
      </c>
      <c r="J1298" s="13" t="e">
        <v>#N/A</v>
      </c>
      <c r="K1298" s="13" t="e">
        <v>#N/A</v>
      </c>
      <c r="L1298" s="14" t="e">
        <v>#N/A</v>
      </c>
      <c r="M1298" s="14" t="e">
        <v>#N/A</v>
      </c>
    </row>
    <row r="1299" spans="5:13">
      <c r="E1299" s="13" t="e">
        <v>#N/A</v>
      </c>
      <c r="F1299" s="13" t="e">
        <v>#N/A</v>
      </c>
      <c r="G1299" s="14" t="e">
        <v>#N/A</v>
      </c>
      <c r="H1299" s="14" t="e">
        <v>#N/A</v>
      </c>
      <c r="J1299" s="13" t="e">
        <v>#N/A</v>
      </c>
      <c r="K1299" s="13" t="e">
        <v>#N/A</v>
      </c>
      <c r="L1299" s="14" t="e">
        <v>#N/A</v>
      </c>
      <c r="M1299" s="14" t="e">
        <v>#N/A</v>
      </c>
    </row>
    <row r="1300" spans="5:13">
      <c r="E1300" s="13" t="e">
        <v>#N/A</v>
      </c>
      <c r="F1300" s="13" t="e">
        <v>#N/A</v>
      </c>
      <c r="G1300" s="14" t="e">
        <v>#N/A</v>
      </c>
      <c r="H1300" s="14" t="e">
        <v>#N/A</v>
      </c>
      <c r="J1300" s="13" t="e">
        <v>#N/A</v>
      </c>
      <c r="K1300" s="13" t="e">
        <v>#N/A</v>
      </c>
      <c r="L1300" s="14" t="e">
        <v>#N/A</v>
      </c>
      <c r="M1300" s="14" t="e">
        <v>#N/A</v>
      </c>
    </row>
    <row r="1301" spans="5:13">
      <c r="E1301" s="13" t="e">
        <v>#N/A</v>
      </c>
      <c r="F1301" s="13" t="e">
        <v>#N/A</v>
      </c>
      <c r="G1301" s="14" t="e">
        <v>#N/A</v>
      </c>
      <c r="H1301" s="14" t="e">
        <v>#N/A</v>
      </c>
      <c r="J1301" s="13" t="e">
        <v>#N/A</v>
      </c>
      <c r="K1301" s="13" t="e">
        <v>#N/A</v>
      </c>
      <c r="L1301" s="14" t="e">
        <v>#N/A</v>
      </c>
      <c r="M1301" s="14" t="e">
        <v>#N/A</v>
      </c>
    </row>
    <row r="1302" spans="5:13">
      <c r="E1302" s="13" t="e">
        <v>#N/A</v>
      </c>
      <c r="F1302" s="13" t="e">
        <v>#N/A</v>
      </c>
      <c r="G1302" s="14" t="e">
        <v>#N/A</v>
      </c>
      <c r="H1302" s="14" t="e">
        <v>#N/A</v>
      </c>
      <c r="J1302" s="13" t="e">
        <v>#N/A</v>
      </c>
      <c r="K1302" s="13" t="e">
        <v>#N/A</v>
      </c>
      <c r="L1302" s="14" t="e">
        <v>#N/A</v>
      </c>
      <c r="M1302" s="14" t="e">
        <v>#N/A</v>
      </c>
    </row>
    <row r="1303" spans="5:13">
      <c r="E1303" s="13" t="e">
        <v>#N/A</v>
      </c>
      <c r="F1303" s="13" t="e">
        <v>#N/A</v>
      </c>
      <c r="G1303" s="14" t="e">
        <v>#N/A</v>
      </c>
      <c r="H1303" s="14" t="e">
        <v>#N/A</v>
      </c>
      <c r="J1303" s="13" t="e">
        <v>#N/A</v>
      </c>
      <c r="K1303" s="13" t="e">
        <v>#N/A</v>
      </c>
      <c r="L1303" s="14" t="e">
        <v>#N/A</v>
      </c>
      <c r="M1303" s="14" t="e">
        <v>#N/A</v>
      </c>
    </row>
    <row r="1304" spans="5:13">
      <c r="E1304" s="13" t="e">
        <v>#N/A</v>
      </c>
      <c r="F1304" s="13" t="e">
        <v>#N/A</v>
      </c>
      <c r="G1304" s="14" t="e">
        <v>#N/A</v>
      </c>
      <c r="H1304" s="14" t="e">
        <v>#N/A</v>
      </c>
      <c r="J1304" s="13" t="e">
        <v>#N/A</v>
      </c>
      <c r="K1304" s="13" t="e">
        <v>#N/A</v>
      </c>
      <c r="L1304" s="14" t="e">
        <v>#N/A</v>
      </c>
      <c r="M1304" s="14" t="e">
        <v>#N/A</v>
      </c>
    </row>
    <row r="1305" spans="5:13">
      <c r="E1305" s="13" t="e">
        <v>#N/A</v>
      </c>
      <c r="F1305" s="13" t="e">
        <v>#N/A</v>
      </c>
      <c r="G1305" s="14" t="e">
        <v>#N/A</v>
      </c>
      <c r="H1305" s="14" t="e">
        <v>#N/A</v>
      </c>
      <c r="J1305" s="13" t="e">
        <v>#N/A</v>
      </c>
      <c r="K1305" s="13" t="e">
        <v>#N/A</v>
      </c>
      <c r="L1305" s="14" t="e">
        <v>#N/A</v>
      </c>
      <c r="M1305" s="14" t="e">
        <v>#N/A</v>
      </c>
    </row>
    <row r="1306" spans="5:13">
      <c r="E1306" s="13" t="e">
        <v>#N/A</v>
      </c>
      <c r="F1306" s="13" t="e">
        <v>#N/A</v>
      </c>
      <c r="G1306" s="14" t="e">
        <v>#N/A</v>
      </c>
      <c r="H1306" s="14" t="e">
        <v>#N/A</v>
      </c>
      <c r="J1306" s="13" t="e">
        <v>#N/A</v>
      </c>
      <c r="K1306" s="13" t="e">
        <v>#N/A</v>
      </c>
      <c r="L1306" s="14" t="e">
        <v>#N/A</v>
      </c>
      <c r="M1306" s="14" t="e">
        <v>#N/A</v>
      </c>
    </row>
    <row r="1307" spans="5:13">
      <c r="E1307" s="13" t="e">
        <v>#N/A</v>
      </c>
      <c r="F1307" s="13" t="e">
        <v>#N/A</v>
      </c>
      <c r="G1307" s="14" t="e">
        <v>#N/A</v>
      </c>
      <c r="H1307" s="14" t="e">
        <v>#N/A</v>
      </c>
      <c r="J1307" s="13" t="e">
        <v>#N/A</v>
      </c>
      <c r="K1307" s="13" t="e">
        <v>#N/A</v>
      </c>
      <c r="L1307" s="14" t="e">
        <v>#N/A</v>
      </c>
      <c r="M1307" s="14" t="e">
        <v>#N/A</v>
      </c>
    </row>
    <row r="1308" spans="5:13">
      <c r="E1308" s="13" t="e">
        <v>#N/A</v>
      </c>
      <c r="F1308" s="13" t="e">
        <v>#N/A</v>
      </c>
      <c r="G1308" s="14" t="e">
        <v>#N/A</v>
      </c>
      <c r="H1308" s="14" t="e">
        <v>#N/A</v>
      </c>
      <c r="J1308" s="13" t="e">
        <v>#N/A</v>
      </c>
      <c r="K1308" s="13" t="e">
        <v>#N/A</v>
      </c>
      <c r="L1308" s="14" t="e">
        <v>#N/A</v>
      </c>
      <c r="M1308" s="14" t="e">
        <v>#N/A</v>
      </c>
    </row>
    <row r="1309" spans="5:13">
      <c r="E1309" s="13" t="e">
        <v>#N/A</v>
      </c>
      <c r="F1309" s="13" t="e">
        <v>#N/A</v>
      </c>
      <c r="G1309" s="14" t="e">
        <v>#N/A</v>
      </c>
      <c r="H1309" s="14" t="e">
        <v>#N/A</v>
      </c>
      <c r="J1309" s="13" t="e">
        <v>#N/A</v>
      </c>
      <c r="K1309" s="13" t="e">
        <v>#N/A</v>
      </c>
      <c r="L1309" s="14" t="e">
        <v>#N/A</v>
      </c>
      <c r="M1309" s="14" t="e">
        <v>#N/A</v>
      </c>
    </row>
    <row r="1310" spans="5:13">
      <c r="E1310" s="13" t="e">
        <v>#N/A</v>
      </c>
      <c r="F1310" s="13" t="e">
        <v>#N/A</v>
      </c>
      <c r="G1310" s="14" t="e">
        <v>#N/A</v>
      </c>
      <c r="H1310" s="14" t="e">
        <v>#N/A</v>
      </c>
      <c r="J1310" s="13" t="e">
        <v>#N/A</v>
      </c>
      <c r="K1310" s="13" t="e">
        <v>#N/A</v>
      </c>
      <c r="L1310" s="14" t="e">
        <v>#N/A</v>
      </c>
      <c r="M1310" s="14" t="e">
        <v>#N/A</v>
      </c>
    </row>
    <row r="1311" spans="5:13">
      <c r="E1311" s="13" t="e">
        <v>#N/A</v>
      </c>
      <c r="F1311" s="13" t="e">
        <v>#N/A</v>
      </c>
      <c r="G1311" s="14" t="e">
        <v>#N/A</v>
      </c>
      <c r="H1311" s="14" t="e">
        <v>#N/A</v>
      </c>
      <c r="J1311" s="13" t="e">
        <v>#N/A</v>
      </c>
      <c r="K1311" s="13" t="e">
        <v>#N/A</v>
      </c>
      <c r="L1311" s="14" t="e">
        <v>#N/A</v>
      </c>
      <c r="M1311" s="14" t="e">
        <v>#N/A</v>
      </c>
    </row>
    <row r="1312" spans="5:13">
      <c r="E1312" s="13" t="e">
        <v>#N/A</v>
      </c>
      <c r="F1312" s="13" t="e">
        <v>#N/A</v>
      </c>
      <c r="G1312" s="14" t="e">
        <v>#N/A</v>
      </c>
      <c r="H1312" s="14" t="e">
        <v>#N/A</v>
      </c>
      <c r="J1312" s="13" t="e">
        <v>#N/A</v>
      </c>
      <c r="K1312" s="13" t="e">
        <v>#N/A</v>
      </c>
      <c r="L1312" s="14" t="e">
        <v>#N/A</v>
      </c>
      <c r="M1312" s="14" t="e">
        <v>#N/A</v>
      </c>
    </row>
    <row r="1313" spans="5:13">
      <c r="E1313" s="13" t="e">
        <v>#N/A</v>
      </c>
      <c r="F1313" s="13" t="e">
        <v>#N/A</v>
      </c>
      <c r="G1313" s="14" t="e">
        <v>#N/A</v>
      </c>
      <c r="H1313" s="14" t="e">
        <v>#N/A</v>
      </c>
      <c r="J1313" s="13" t="e">
        <v>#N/A</v>
      </c>
      <c r="K1313" s="13" t="e">
        <v>#N/A</v>
      </c>
      <c r="L1313" s="14" t="e">
        <v>#N/A</v>
      </c>
      <c r="M1313" s="14" t="e">
        <v>#N/A</v>
      </c>
    </row>
    <row r="1314" spans="5:13">
      <c r="E1314" s="13" t="e">
        <v>#N/A</v>
      </c>
      <c r="F1314" s="13" t="e">
        <v>#N/A</v>
      </c>
      <c r="G1314" s="14" t="e">
        <v>#N/A</v>
      </c>
      <c r="H1314" s="14" t="e">
        <v>#N/A</v>
      </c>
      <c r="J1314" s="13" t="e">
        <v>#N/A</v>
      </c>
      <c r="K1314" s="13" t="e">
        <v>#N/A</v>
      </c>
      <c r="L1314" s="14" t="e">
        <v>#N/A</v>
      </c>
      <c r="M1314" s="14" t="e">
        <v>#N/A</v>
      </c>
    </row>
    <row r="1315" spans="5:13">
      <c r="E1315" s="13" t="e">
        <v>#N/A</v>
      </c>
      <c r="F1315" s="13" t="e">
        <v>#N/A</v>
      </c>
      <c r="G1315" s="14" t="e">
        <v>#N/A</v>
      </c>
      <c r="H1315" s="14" t="e">
        <v>#N/A</v>
      </c>
      <c r="J1315" s="13" t="e">
        <v>#N/A</v>
      </c>
      <c r="K1315" s="13" t="e">
        <v>#N/A</v>
      </c>
      <c r="L1315" s="14" t="e">
        <v>#N/A</v>
      </c>
      <c r="M1315" s="14" t="e">
        <v>#N/A</v>
      </c>
    </row>
    <row r="1316" spans="5:13">
      <c r="E1316" s="13" t="e">
        <v>#N/A</v>
      </c>
      <c r="F1316" s="13" t="e">
        <v>#N/A</v>
      </c>
      <c r="G1316" s="14" t="e">
        <v>#N/A</v>
      </c>
      <c r="H1316" s="14" t="e">
        <v>#N/A</v>
      </c>
      <c r="J1316" s="13" t="e">
        <v>#N/A</v>
      </c>
      <c r="K1316" s="13" t="e">
        <v>#N/A</v>
      </c>
      <c r="L1316" s="14" t="e">
        <v>#N/A</v>
      </c>
      <c r="M1316" s="14" t="e">
        <v>#N/A</v>
      </c>
    </row>
    <row r="1317" spans="5:13">
      <c r="E1317" s="13" t="e">
        <v>#N/A</v>
      </c>
      <c r="F1317" s="13" t="e">
        <v>#N/A</v>
      </c>
      <c r="G1317" s="14" t="e">
        <v>#N/A</v>
      </c>
      <c r="H1317" s="14" t="e">
        <v>#N/A</v>
      </c>
      <c r="J1317" s="13" t="e">
        <v>#N/A</v>
      </c>
      <c r="K1317" s="13" t="e">
        <v>#N/A</v>
      </c>
      <c r="L1317" s="14" t="e">
        <v>#N/A</v>
      </c>
      <c r="M1317" s="14" t="e">
        <v>#N/A</v>
      </c>
    </row>
    <row r="1318" spans="5:13">
      <c r="E1318" s="13" t="e">
        <v>#N/A</v>
      </c>
      <c r="F1318" s="13" t="e">
        <v>#N/A</v>
      </c>
      <c r="G1318" s="14" t="e">
        <v>#N/A</v>
      </c>
      <c r="H1318" s="14" t="e">
        <v>#N/A</v>
      </c>
      <c r="J1318" s="13" t="e">
        <v>#N/A</v>
      </c>
      <c r="K1318" s="13" t="e">
        <v>#N/A</v>
      </c>
      <c r="L1318" s="14" t="e">
        <v>#N/A</v>
      </c>
      <c r="M1318" s="14" t="e">
        <v>#N/A</v>
      </c>
    </row>
    <row r="1319" spans="5:13">
      <c r="E1319" s="13" t="e">
        <v>#N/A</v>
      </c>
      <c r="F1319" s="13" t="e">
        <v>#N/A</v>
      </c>
      <c r="G1319" s="14" t="e">
        <v>#N/A</v>
      </c>
      <c r="H1319" s="14" t="e">
        <v>#N/A</v>
      </c>
      <c r="J1319" s="13" t="e">
        <v>#N/A</v>
      </c>
      <c r="K1319" s="13" t="e">
        <v>#N/A</v>
      </c>
      <c r="L1319" s="14" t="e">
        <v>#N/A</v>
      </c>
      <c r="M1319" s="14" t="e">
        <v>#N/A</v>
      </c>
    </row>
    <row r="1320" spans="5:13">
      <c r="E1320" s="13" t="e">
        <v>#N/A</v>
      </c>
      <c r="F1320" s="13" t="e">
        <v>#N/A</v>
      </c>
      <c r="G1320" s="14" t="e">
        <v>#N/A</v>
      </c>
      <c r="H1320" s="14" t="e">
        <v>#N/A</v>
      </c>
      <c r="J1320" s="13" t="e">
        <v>#N/A</v>
      </c>
      <c r="K1320" s="13" t="e">
        <v>#N/A</v>
      </c>
      <c r="L1320" s="14" t="e">
        <v>#N/A</v>
      </c>
      <c r="M1320" s="14" t="e">
        <v>#N/A</v>
      </c>
    </row>
    <row r="1321" spans="5:13">
      <c r="E1321" s="13" t="e">
        <v>#N/A</v>
      </c>
      <c r="F1321" s="13" t="e">
        <v>#N/A</v>
      </c>
      <c r="G1321" s="14" t="e">
        <v>#N/A</v>
      </c>
      <c r="H1321" s="14" t="e">
        <v>#N/A</v>
      </c>
      <c r="J1321" s="13" t="e">
        <v>#N/A</v>
      </c>
      <c r="K1321" s="13" t="e">
        <v>#N/A</v>
      </c>
      <c r="L1321" s="14" t="e">
        <v>#N/A</v>
      </c>
      <c r="M1321" s="14" t="e">
        <v>#N/A</v>
      </c>
    </row>
    <row r="1322" spans="5:13">
      <c r="E1322" s="13" t="e">
        <v>#N/A</v>
      </c>
      <c r="F1322" s="13" t="e">
        <v>#N/A</v>
      </c>
      <c r="G1322" s="14" t="e">
        <v>#N/A</v>
      </c>
      <c r="H1322" s="14" t="e">
        <v>#N/A</v>
      </c>
      <c r="J1322" s="13" t="e">
        <v>#N/A</v>
      </c>
      <c r="K1322" s="13" t="e">
        <v>#N/A</v>
      </c>
      <c r="L1322" s="14" t="e">
        <v>#N/A</v>
      </c>
      <c r="M1322" s="14" t="e">
        <v>#N/A</v>
      </c>
    </row>
    <row r="1323" spans="5:13">
      <c r="E1323" s="13" t="e">
        <v>#N/A</v>
      </c>
      <c r="F1323" s="13" t="e">
        <v>#N/A</v>
      </c>
      <c r="G1323" s="14" t="e">
        <v>#N/A</v>
      </c>
      <c r="H1323" s="14" t="e">
        <v>#N/A</v>
      </c>
      <c r="J1323" s="13" t="e">
        <v>#N/A</v>
      </c>
      <c r="K1323" s="13" t="e">
        <v>#N/A</v>
      </c>
      <c r="L1323" s="14" t="e">
        <v>#N/A</v>
      </c>
      <c r="M1323" s="14" t="e">
        <v>#N/A</v>
      </c>
    </row>
    <row r="1324" spans="5:13">
      <c r="E1324" s="13" t="e">
        <v>#N/A</v>
      </c>
      <c r="F1324" s="13" t="e">
        <v>#N/A</v>
      </c>
      <c r="G1324" s="14" t="e">
        <v>#N/A</v>
      </c>
      <c r="H1324" s="14" t="e">
        <v>#N/A</v>
      </c>
      <c r="J1324" s="13" t="e">
        <v>#N/A</v>
      </c>
      <c r="K1324" s="13" t="e">
        <v>#N/A</v>
      </c>
      <c r="L1324" s="14" t="e">
        <v>#N/A</v>
      </c>
      <c r="M1324" s="14" t="e">
        <v>#N/A</v>
      </c>
    </row>
    <row r="1325" spans="5:13">
      <c r="E1325" s="13" t="e">
        <v>#N/A</v>
      </c>
      <c r="F1325" s="13" t="e">
        <v>#N/A</v>
      </c>
      <c r="G1325" s="14" t="e">
        <v>#N/A</v>
      </c>
      <c r="H1325" s="14" t="e">
        <v>#N/A</v>
      </c>
      <c r="J1325" s="13" t="e">
        <v>#N/A</v>
      </c>
      <c r="K1325" s="13" t="e">
        <v>#N/A</v>
      </c>
      <c r="L1325" s="14" t="e">
        <v>#N/A</v>
      </c>
      <c r="M1325" s="14" t="e">
        <v>#N/A</v>
      </c>
    </row>
    <row r="1326" spans="5:13">
      <c r="E1326" s="13" t="e">
        <v>#N/A</v>
      </c>
      <c r="F1326" s="13" t="e">
        <v>#N/A</v>
      </c>
      <c r="G1326" s="14" t="e">
        <v>#N/A</v>
      </c>
      <c r="H1326" s="14" t="e">
        <v>#N/A</v>
      </c>
      <c r="J1326" s="13" t="e">
        <v>#N/A</v>
      </c>
      <c r="K1326" s="13" t="e">
        <v>#N/A</v>
      </c>
      <c r="L1326" s="14" t="e">
        <v>#N/A</v>
      </c>
      <c r="M1326" s="14" t="e">
        <v>#N/A</v>
      </c>
    </row>
    <row r="1327" spans="5:13">
      <c r="E1327" s="13" t="e">
        <v>#N/A</v>
      </c>
      <c r="F1327" s="13" t="e">
        <v>#N/A</v>
      </c>
      <c r="G1327" s="14" t="e">
        <v>#N/A</v>
      </c>
      <c r="H1327" s="14" t="e">
        <v>#N/A</v>
      </c>
      <c r="J1327" s="13" t="e">
        <v>#N/A</v>
      </c>
      <c r="K1327" s="13" t="e">
        <v>#N/A</v>
      </c>
      <c r="L1327" s="14" t="e">
        <v>#N/A</v>
      </c>
      <c r="M1327" s="14" t="e">
        <v>#N/A</v>
      </c>
    </row>
    <row r="1328" spans="5:13">
      <c r="E1328" s="13" t="e">
        <v>#N/A</v>
      </c>
      <c r="F1328" s="13" t="e">
        <v>#N/A</v>
      </c>
      <c r="G1328" s="14" t="e">
        <v>#N/A</v>
      </c>
      <c r="H1328" s="14" t="e">
        <v>#N/A</v>
      </c>
      <c r="J1328" s="13" t="e">
        <v>#N/A</v>
      </c>
      <c r="K1328" s="13" t="e">
        <v>#N/A</v>
      </c>
      <c r="L1328" s="14" t="e">
        <v>#N/A</v>
      </c>
      <c r="M1328" s="14" t="e">
        <v>#N/A</v>
      </c>
    </row>
    <row r="1329" spans="5:13">
      <c r="E1329" s="13" t="e">
        <v>#N/A</v>
      </c>
      <c r="F1329" s="13" t="e">
        <v>#N/A</v>
      </c>
      <c r="G1329" s="14" t="e">
        <v>#N/A</v>
      </c>
      <c r="H1329" s="14" t="e">
        <v>#N/A</v>
      </c>
      <c r="J1329" s="13" t="e">
        <v>#N/A</v>
      </c>
      <c r="K1329" s="13" t="e">
        <v>#N/A</v>
      </c>
      <c r="L1329" s="14" t="e">
        <v>#N/A</v>
      </c>
      <c r="M1329" s="14" t="e">
        <v>#N/A</v>
      </c>
    </row>
    <row r="1330" spans="5:13">
      <c r="E1330" s="13" t="e">
        <v>#N/A</v>
      </c>
      <c r="F1330" s="13" t="e">
        <v>#N/A</v>
      </c>
      <c r="G1330" s="14" t="e">
        <v>#N/A</v>
      </c>
      <c r="H1330" s="14" t="e">
        <v>#N/A</v>
      </c>
      <c r="J1330" s="13" t="e">
        <v>#N/A</v>
      </c>
      <c r="K1330" s="13" t="e">
        <v>#N/A</v>
      </c>
      <c r="L1330" s="14" t="e">
        <v>#N/A</v>
      </c>
      <c r="M1330" s="14" t="e">
        <v>#N/A</v>
      </c>
    </row>
    <row r="1331" spans="5:13">
      <c r="E1331" s="13" t="e">
        <v>#N/A</v>
      </c>
      <c r="F1331" s="13" t="e">
        <v>#N/A</v>
      </c>
      <c r="G1331" s="14" t="e">
        <v>#N/A</v>
      </c>
      <c r="H1331" s="14" t="e">
        <v>#N/A</v>
      </c>
      <c r="J1331" s="13" t="e">
        <v>#N/A</v>
      </c>
      <c r="K1331" s="13" t="e">
        <v>#N/A</v>
      </c>
      <c r="L1331" s="14" t="e">
        <v>#N/A</v>
      </c>
      <c r="M1331" s="14" t="e">
        <v>#N/A</v>
      </c>
    </row>
    <row r="1332" spans="5:13">
      <c r="E1332" s="13" t="e">
        <v>#N/A</v>
      </c>
      <c r="F1332" s="13" t="e">
        <v>#N/A</v>
      </c>
      <c r="G1332" s="14" t="e">
        <v>#N/A</v>
      </c>
      <c r="H1332" s="14" t="e">
        <v>#N/A</v>
      </c>
      <c r="J1332" s="13" t="e">
        <v>#N/A</v>
      </c>
      <c r="K1332" s="13" t="e">
        <v>#N/A</v>
      </c>
      <c r="L1332" s="14" t="e">
        <v>#N/A</v>
      </c>
      <c r="M1332" s="14" t="e">
        <v>#N/A</v>
      </c>
    </row>
    <row r="1333" spans="5:13">
      <c r="E1333" s="13" t="e">
        <v>#N/A</v>
      </c>
      <c r="F1333" s="13" t="e">
        <v>#N/A</v>
      </c>
      <c r="G1333" s="14" t="e">
        <v>#N/A</v>
      </c>
      <c r="H1333" s="14" t="e">
        <v>#N/A</v>
      </c>
      <c r="J1333" s="13" t="e">
        <v>#N/A</v>
      </c>
      <c r="K1333" s="13" t="e">
        <v>#N/A</v>
      </c>
      <c r="L1333" s="14" t="e">
        <v>#N/A</v>
      </c>
      <c r="M1333" s="14" t="e">
        <v>#N/A</v>
      </c>
    </row>
    <row r="1334" spans="5:13">
      <c r="E1334" s="13" t="e">
        <v>#N/A</v>
      </c>
      <c r="F1334" s="13" t="e">
        <v>#N/A</v>
      </c>
      <c r="G1334" s="14" t="e">
        <v>#N/A</v>
      </c>
      <c r="H1334" s="14" t="e">
        <v>#N/A</v>
      </c>
      <c r="J1334" s="13" t="e">
        <v>#N/A</v>
      </c>
      <c r="K1334" s="13" t="e">
        <v>#N/A</v>
      </c>
      <c r="L1334" s="14" t="e">
        <v>#N/A</v>
      </c>
      <c r="M1334" s="14" t="e">
        <v>#N/A</v>
      </c>
    </row>
    <row r="1335" spans="5:13">
      <c r="E1335" s="13" t="e">
        <v>#N/A</v>
      </c>
      <c r="F1335" s="13" t="e">
        <v>#N/A</v>
      </c>
      <c r="G1335" s="14" t="e">
        <v>#N/A</v>
      </c>
      <c r="H1335" s="14" t="e">
        <v>#N/A</v>
      </c>
      <c r="J1335" s="13" t="e">
        <v>#N/A</v>
      </c>
      <c r="K1335" s="13" t="e">
        <v>#N/A</v>
      </c>
      <c r="L1335" s="14" t="e">
        <v>#N/A</v>
      </c>
      <c r="M1335" s="14" t="e">
        <v>#N/A</v>
      </c>
    </row>
    <row r="1336" spans="5:13">
      <c r="E1336" s="13" t="e">
        <v>#N/A</v>
      </c>
      <c r="F1336" s="13" t="e">
        <v>#N/A</v>
      </c>
      <c r="G1336" s="14" t="e">
        <v>#N/A</v>
      </c>
      <c r="H1336" s="14" t="e">
        <v>#N/A</v>
      </c>
      <c r="J1336" s="13" t="e">
        <v>#N/A</v>
      </c>
      <c r="K1336" s="13" t="e">
        <v>#N/A</v>
      </c>
      <c r="L1336" s="14" t="e">
        <v>#N/A</v>
      </c>
      <c r="M1336" s="14" t="e">
        <v>#N/A</v>
      </c>
    </row>
    <row r="1337" spans="5:13">
      <c r="E1337" s="13" t="e">
        <v>#N/A</v>
      </c>
      <c r="F1337" s="13" t="e">
        <v>#N/A</v>
      </c>
      <c r="G1337" s="14" t="e">
        <v>#N/A</v>
      </c>
      <c r="H1337" s="14" t="e">
        <v>#N/A</v>
      </c>
      <c r="J1337" s="13" t="e">
        <v>#N/A</v>
      </c>
      <c r="K1337" s="13" t="e">
        <v>#N/A</v>
      </c>
      <c r="L1337" s="14" t="e">
        <v>#N/A</v>
      </c>
      <c r="M1337" s="14" t="e">
        <v>#N/A</v>
      </c>
    </row>
    <row r="1338" spans="5:13">
      <c r="E1338" s="13" t="e">
        <v>#N/A</v>
      </c>
      <c r="F1338" s="13" t="e">
        <v>#N/A</v>
      </c>
      <c r="G1338" s="14" t="e">
        <v>#N/A</v>
      </c>
      <c r="H1338" s="14" t="e">
        <v>#N/A</v>
      </c>
      <c r="J1338" s="13" t="e">
        <v>#N/A</v>
      </c>
      <c r="K1338" s="13" t="e">
        <v>#N/A</v>
      </c>
      <c r="L1338" s="14" t="e">
        <v>#N/A</v>
      </c>
      <c r="M1338" s="14" t="e">
        <v>#N/A</v>
      </c>
    </row>
    <row r="1339" spans="5:13">
      <c r="E1339" s="13" t="e">
        <v>#N/A</v>
      </c>
      <c r="F1339" s="13" t="e">
        <v>#N/A</v>
      </c>
      <c r="G1339" s="14" t="e">
        <v>#N/A</v>
      </c>
      <c r="H1339" s="14" t="e">
        <v>#N/A</v>
      </c>
      <c r="J1339" s="13" t="e">
        <v>#N/A</v>
      </c>
      <c r="K1339" s="13" t="e">
        <v>#N/A</v>
      </c>
      <c r="L1339" s="14" t="e">
        <v>#N/A</v>
      </c>
      <c r="M1339" s="14" t="e">
        <v>#N/A</v>
      </c>
    </row>
    <row r="1340" spans="5:13">
      <c r="E1340" s="13" t="e">
        <v>#N/A</v>
      </c>
      <c r="F1340" s="13" t="e">
        <v>#N/A</v>
      </c>
      <c r="G1340" s="14" t="e">
        <v>#N/A</v>
      </c>
      <c r="H1340" s="14" t="e">
        <v>#N/A</v>
      </c>
      <c r="J1340" s="13" t="e">
        <v>#N/A</v>
      </c>
      <c r="K1340" s="13" t="e">
        <v>#N/A</v>
      </c>
      <c r="L1340" s="14" t="e">
        <v>#N/A</v>
      </c>
      <c r="M1340" s="14" t="e">
        <v>#N/A</v>
      </c>
    </row>
    <row r="1341" spans="5:13">
      <c r="E1341" s="13" t="e">
        <v>#N/A</v>
      </c>
      <c r="F1341" s="13" t="e">
        <v>#N/A</v>
      </c>
      <c r="G1341" s="14" t="e">
        <v>#N/A</v>
      </c>
      <c r="H1341" s="14" t="e">
        <v>#N/A</v>
      </c>
      <c r="J1341" s="13" t="e">
        <v>#N/A</v>
      </c>
      <c r="K1341" s="13" t="e">
        <v>#N/A</v>
      </c>
      <c r="L1341" s="14" t="e">
        <v>#N/A</v>
      </c>
      <c r="M1341" s="14" t="e">
        <v>#N/A</v>
      </c>
    </row>
    <row r="1342" spans="5:13">
      <c r="E1342" s="13" t="e">
        <v>#N/A</v>
      </c>
      <c r="F1342" s="13" t="e">
        <v>#N/A</v>
      </c>
      <c r="G1342" s="14" t="e">
        <v>#N/A</v>
      </c>
      <c r="H1342" s="14" t="e">
        <v>#N/A</v>
      </c>
      <c r="J1342" s="13" t="e">
        <v>#N/A</v>
      </c>
      <c r="K1342" s="13" t="e">
        <v>#N/A</v>
      </c>
      <c r="L1342" s="14" t="e">
        <v>#N/A</v>
      </c>
      <c r="M1342" s="14" t="e">
        <v>#N/A</v>
      </c>
    </row>
    <row r="1343" spans="5:13">
      <c r="E1343" s="13" t="e">
        <v>#N/A</v>
      </c>
      <c r="F1343" s="13" t="e">
        <v>#N/A</v>
      </c>
      <c r="G1343" s="14" t="e">
        <v>#N/A</v>
      </c>
      <c r="H1343" s="14" t="e">
        <v>#N/A</v>
      </c>
      <c r="J1343" s="13" t="e">
        <v>#N/A</v>
      </c>
      <c r="K1343" s="13" t="e">
        <v>#N/A</v>
      </c>
      <c r="L1343" s="14" t="e">
        <v>#N/A</v>
      </c>
      <c r="M1343" s="14" t="e">
        <v>#N/A</v>
      </c>
    </row>
    <row r="1344" spans="5:13">
      <c r="E1344" s="13" t="e">
        <v>#N/A</v>
      </c>
      <c r="F1344" s="13" t="e">
        <v>#N/A</v>
      </c>
      <c r="G1344" s="14" t="e">
        <v>#N/A</v>
      </c>
      <c r="H1344" s="14" t="e">
        <v>#N/A</v>
      </c>
      <c r="J1344" s="13" t="e">
        <v>#N/A</v>
      </c>
      <c r="K1344" s="13" t="e">
        <v>#N/A</v>
      </c>
      <c r="L1344" s="14" t="e">
        <v>#N/A</v>
      </c>
      <c r="M1344" s="14" t="e">
        <v>#N/A</v>
      </c>
    </row>
    <row r="1345" spans="5:13">
      <c r="E1345" s="13" t="e">
        <v>#N/A</v>
      </c>
      <c r="F1345" s="13" t="e">
        <v>#N/A</v>
      </c>
      <c r="G1345" s="14" t="e">
        <v>#N/A</v>
      </c>
      <c r="H1345" s="14" t="e">
        <v>#N/A</v>
      </c>
      <c r="J1345" s="13" t="e">
        <v>#N/A</v>
      </c>
      <c r="K1345" s="13" t="e">
        <v>#N/A</v>
      </c>
      <c r="L1345" s="14" t="e">
        <v>#N/A</v>
      </c>
      <c r="M1345" s="14" t="e">
        <v>#N/A</v>
      </c>
    </row>
    <row r="1346" spans="5:13">
      <c r="E1346" s="13" t="e">
        <v>#N/A</v>
      </c>
      <c r="F1346" s="13" t="e">
        <v>#N/A</v>
      </c>
      <c r="G1346" s="14" t="e">
        <v>#N/A</v>
      </c>
      <c r="H1346" s="14" t="e">
        <v>#N/A</v>
      </c>
      <c r="J1346" s="13" t="e">
        <v>#N/A</v>
      </c>
      <c r="K1346" s="13" t="e">
        <v>#N/A</v>
      </c>
      <c r="L1346" s="14" t="e">
        <v>#N/A</v>
      </c>
      <c r="M1346" s="14" t="e">
        <v>#N/A</v>
      </c>
    </row>
    <row r="1347" spans="5:13">
      <c r="E1347" s="13" t="e">
        <v>#N/A</v>
      </c>
      <c r="F1347" s="13" t="e">
        <v>#N/A</v>
      </c>
      <c r="G1347" s="14" t="e">
        <v>#N/A</v>
      </c>
      <c r="H1347" s="14" t="e">
        <v>#N/A</v>
      </c>
      <c r="J1347" s="13" t="e">
        <v>#N/A</v>
      </c>
      <c r="K1347" s="13" t="e">
        <v>#N/A</v>
      </c>
      <c r="L1347" s="14" t="e">
        <v>#N/A</v>
      </c>
      <c r="M1347" s="14" t="e">
        <v>#N/A</v>
      </c>
    </row>
  </sheetData>
  <dataValidations disablePrompts="1" count="1">
    <dataValidation type="list" allowBlank="1" showInputMessage="1" showErrorMessage="1" sqref="F8">
      <formula1>"Call, Put"</formula1>
    </dataValidation>
  </dataValidations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Main</vt:lpstr>
      <vt:lpstr>call_or_put</vt:lpstr>
      <vt:lpstr>fd_output</vt:lpstr>
      <vt:lpstr>Main!fd_output2</vt:lpstr>
      <vt:lpstr>Main!maturity</vt:lpstr>
      <vt:lpstr>Main!maturity1</vt:lpstr>
      <vt:lpstr>Main!maturity2</vt:lpstr>
      <vt:lpstr>num_asset_steps</vt:lpstr>
      <vt:lpstr>payoff</vt:lpstr>
      <vt:lpstr>Main!quantity1</vt:lpstr>
      <vt:lpstr>Main!quantity2</vt:lpstr>
      <vt:lpstr>rf</vt:lpstr>
      <vt:lpstr>sigma_minus</vt:lpstr>
      <vt:lpstr>sigma_plus</vt:lpstr>
      <vt:lpstr>spot</vt:lpstr>
      <vt:lpstr>strike</vt:lpstr>
      <vt:lpstr>Main!strike1</vt:lpstr>
      <vt:lpstr>Main!strike2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Sathya</dc:creator>
  <cp:lastModifiedBy>Sathya</cp:lastModifiedBy>
  <dcterms:created xsi:type="dcterms:W3CDTF">2012-07-14T01:19:41Z</dcterms:created>
  <dcterms:modified xsi:type="dcterms:W3CDTF">2012-12-17T06:10:41Z</dcterms:modified>
</cp:coreProperties>
</file>